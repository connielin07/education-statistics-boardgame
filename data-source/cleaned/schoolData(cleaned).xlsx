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el\Desktop\education-statistics-boardgame\data-source\cleaned\"/>
    </mc:Choice>
  </mc:AlternateContent>
  <xr:revisionPtr revIDLastSave="0" documentId="13_ncr:1_{FF9FFA8B-C174-4623-8BA2-60FB0F456CAA}" xr6:coauthVersionLast="47" xr6:coauthVersionMax="47" xr10:uidLastSave="{00000000-0000-0000-0000-000000000000}"/>
  <bookViews>
    <workbookView xWindow="-98" yWindow="-98" windowWidth="19396" windowHeight="10276" firstSheet="2" activeTab="6" xr2:uid="{2A91B573-E454-4E6B-B638-99896F5F4C32}"/>
  </bookViews>
  <sheets>
    <sheet name="MainData" sheetId="1" r:id="rId1"/>
    <sheet name="111_Raw" sheetId="3" r:id="rId2"/>
    <sheet name="113_Raw" sheetId="4" r:id="rId3"/>
    <sheet name="111_Faraway" sheetId="5" r:id="rId4"/>
    <sheet name="113_Faraway" sheetId="6" r:id="rId5"/>
    <sheet name="Mapping" sheetId="2" r:id="rId6"/>
    <sheet name="Export_JSON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2" i="1"/>
  <c r="G2" i="1"/>
  <c r="G3" i="1"/>
  <c r="G4" i="1"/>
  <c r="G5" i="1"/>
  <c r="G6" i="1"/>
  <c r="G7" i="1"/>
  <c r="I7" i="1" s="1"/>
  <c r="G8" i="1"/>
  <c r="G9" i="1"/>
  <c r="I9" i="1" s="1"/>
  <c r="G10" i="1"/>
  <c r="I10" i="1" s="1"/>
  <c r="G11" i="1"/>
  <c r="I11" i="1" s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I26" i="1" s="1"/>
  <c r="G27" i="1"/>
  <c r="I27" i="1" s="1"/>
  <c r="G28" i="1"/>
  <c r="I28" i="1" s="1"/>
  <c r="G29" i="1"/>
  <c r="I29" i="1" s="1"/>
  <c r="G30" i="1"/>
  <c r="G31" i="1"/>
  <c r="G32" i="1"/>
  <c r="G33" i="1"/>
  <c r="G34" i="1"/>
  <c r="G35" i="1"/>
  <c r="G36" i="1"/>
  <c r="G37" i="1"/>
  <c r="G38" i="1"/>
  <c r="G39" i="1"/>
  <c r="I39" i="1" s="1"/>
  <c r="G40" i="1"/>
  <c r="G41" i="1"/>
  <c r="I41" i="1" s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I57" i="1" s="1"/>
  <c r="G58" i="1"/>
  <c r="I58" i="1" s="1"/>
  <c r="G59" i="1"/>
  <c r="I59" i="1" s="1"/>
  <c r="G60" i="1"/>
  <c r="I60" i="1" s="1"/>
  <c r="G61" i="1"/>
  <c r="I61" i="1" s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I76" i="1" s="1"/>
  <c r="G77" i="1"/>
  <c r="I77" i="1" s="1"/>
  <c r="G78" i="1"/>
  <c r="G79" i="1"/>
  <c r="G80" i="1"/>
  <c r="G81" i="1"/>
  <c r="G82" i="1"/>
  <c r="G83" i="1"/>
  <c r="G84" i="1"/>
  <c r="G85" i="1"/>
  <c r="G86" i="1"/>
  <c r="G87" i="1"/>
  <c r="I87" i="1" s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I103" i="1" s="1"/>
  <c r="G104" i="1"/>
  <c r="G105" i="1"/>
  <c r="I105" i="1" s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I122" i="1" s="1"/>
  <c r="G123" i="1"/>
  <c r="I123" i="1" s="1"/>
  <c r="G124" i="1"/>
  <c r="G125" i="1"/>
  <c r="G126" i="1"/>
  <c r="G127" i="1"/>
  <c r="G128" i="1"/>
  <c r="G129" i="1"/>
  <c r="G130" i="1"/>
  <c r="G131" i="1"/>
  <c r="G132" i="1"/>
  <c r="G133" i="1"/>
  <c r="G134" i="1"/>
  <c r="G135" i="1"/>
  <c r="I135" i="1" s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I151" i="1" s="1"/>
  <c r="G152" i="1"/>
  <c r="G153" i="1"/>
  <c r="I153" i="1" s="1"/>
  <c r="G154" i="1"/>
  <c r="I154" i="1" s="1"/>
  <c r="G155" i="1"/>
  <c r="I155" i="1" s="1"/>
  <c r="G156" i="1"/>
  <c r="I156" i="1" s="1"/>
  <c r="G157" i="1"/>
  <c r="I157" i="1" s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I172" i="1" s="1"/>
  <c r="G173" i="1"/>
  <c r="I173" i="1" s="1"/>
  <c r="G174" i="1"/>
  <c r="G175" i="1"/>
  <c r="G176" i="1"/>
  <c r="G177" i="1"/>
  <c r="G178" i="1"/>
  <c r="G179" i="1"/>
  <c r="G180" i="1"/>
  <c r="G181" i="1"/>
  <c r="G182" i="1"/>
  <c r="G183" i="1"/>
  <c r="G184" i="1"/>
  <c r="G185" i="1"/>
  <c r="I185" i="1" s="1"/>
  <c r="G186" i="1"/>
  <c r="I186" i="1" s="1"/>
  <c r="G187" i="1"/>
  <c r="I187" i="1" s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I202" i="1" s="1"/>
  <c r="G203" i="1"/>
  <c r="I203" i="1" s="1"/>
  <c r="G204" i="1"/>
  <c r="I204" i="1" s="1"/>
  <c r="G205" i="1"/>
  <c r="I205" i="1" s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I231" i="1" s="1"/>
  <c r="G232" i="1"/>
  <c r="G233" i="1"/>
  <c r="I233" i="1" s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I247" i="1" s="1"/>
  <c r="G248" i="1"/>
  <c r="G249" i="1"/>
  <c r="I249" i="1" s="1"/>
  <c r="G250" i="1"/>
  <c r="I250" i="1" s="1"/>
  <c r="G251" i="1"/>
  <c r="I251" i="1" s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I268" i="1" s="1"/>
  <c r="G269" i="1"/>
  <c r="G270" i="1"/>
  <c r="G271" i="1"/>
  <c r="G272" i="1"/>
  <c r="G273" i="1"/>
  <c r="G274" i="1"/>
  <c r="G275" i="1"/>
  <c r="G276" i="1"/>
  <c r="G277" i="1"/>
  <c r="G278" i="1"/>
  <c r="G279" i="1"/>
  <c r="I279" i="1" s="1"/>
  <c r="G280" i="1"/>
  <c r="G281" i="1"/>
  <c r="I281" i="1" s="1"/>
  <c r="G282" i="1"/>
  <c r="I282" i="1" s="1"/>
  <c r="G283" i="1"/>
  <c r="I283" i="1" s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I297" i="1" s="1"/>
  <c r="G298" i="1"/>
  <c r="I298" i="1" s="1"/>
  <c r="G299" i="1"/>
  <c r="G300" i="1"/>
  <c r="I300" i="1" s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I330" i="1" s="1"/>
  <c r="G331" i="1"/>
  <c r="I331" i="1" s="1"/>
  <c r="G332" i="1"/>
  <c r="I332" i="1" s="1"/>
  <c r="G333" i="1"/>
  <c r="G334" i="1"/>
  <c r="G335" i="1"/>
  <c r="G336" i="1"/>
  <c r="G337" i="1"/>
  <c r="G338" i="1"/>
  <c r="G339" i="1"/>
  <c r="G340" i="1"/>
  <c r="G341" i="1"/>
  <c r="G342" i="1"/>
  <c r="G343" i="1"/>
  <c r="I343" i="1" s="1"/>
  <c r="G344" i="1"/>
  <c r="G345" i="1"/>
  <c r="G346" i="1"/>
  <c r="G347" i="1"/>
  <c r="G348" i="1"/>
  <c r="I348" i="1" s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I375" i="1" s="1"/>
  <c r="G376" i="1"/>
  <c r="G377" i="1"/>
  <c r="I377" i="1" s="1"/>
  <c r="G378" i="1"/>
  <c r="I378" i="1" s="1"/>
  <c r="G379" i="1"/>
  <c r="I379" i="1" s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I393" i="1" s="1"/>
  <c r="G394" i="1"/>
  <c r="I394" i="1" s="1"/>
  <c r="G395" i="1"/>
  <c r="I395" i="1" s="1"/>
  <c r="G396" i="1"/>
  <c r="I396" i="1" s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I423" i="1" s="1"/>
  <c r="G424" i="1"/>
  <c r="I424" i="1" s="1"/>
  <c r="G425" i="1"/>
  <c r="I425" i="1" s="1"/>
  <c r="G426" i="1"/>
  <c r="I426" i="1" s="1"/>
  <c r="G427" i="1"/>
  <c r="I427" i="1" s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I440" i="1" s="1"/>
  <c r="G441" i="1"/>
  <c r="I441" i="1" s="1"/>
  <c r="G442" i="1"/>
  <c r="I442" i="1" s="1"/>
  <c r="G443" i="1"/>
  <c r="I443" i="1" s="1"/>
  <c r="G444" i="1"/>
  <c r="I444" i="1" s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I460" i="1" s="1"/>
  <c r="G461" i="1"/>
  <c r="G462" i="1"/>
  <c r="G463" i="1"/>
  <c r="G464" i="1"/>
  <c r="G465" i="1"/>
  <c r="G466" i="1"/>
  <c r="G467" i="1"/>
  <c r="G468" i="1"/>
  <c r="G469" i="1"/>
  <c r="G470" i="1"/>
  <c r="G471" i="1"/>
  <c r="I471" i="1" s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I487" i="1" s="1"/>
  <c r="G488" i="1"/>
  <c r="I488" i="1" s="1"/>
  <c r="G489" i="1"/>
  <c r="G490" i="1"/>
  <c r="G491" i="1"/>
  <c r="G492" i="1"/>
  <c r="I492" i="1" s="1"/>
  <c r="G493" i="1"/>
  <c r="G494" i="1"/>
  <c r="G495" i="1"/>
  <c r="G496" i="1"/>
  <c r="G497" i="1"/>
  <c r="G498" i="1"/>
  <c r="G499" i="1"/>
  <c r="G500" i="1"/>
  <c r="G501" i="1"/>
  <c r="G502" i="1"/>
  <c r="G503" i="1"/>
  <c r="G504" i="1"/>
  <c r="I504" i="1" s="1"/>
  <c r="G505" i="1"/>
  <c r="G506" i="1"/>
  <c r="I506" i="1" s="1"/>
  <c r="G507" i="1"/>
  <c r="I507" i="1" s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E2" i="1"/>
  <c r="I299" i="1" l="1"/>
  <c r="I137" i="1"/>
  <c r="I109" i="1"/>
  <c r="I412" i="1"/>
  <c r="I380" i="1"/>
  <c r="I316" i="1"/>
  <c r="I284" i="1"/>
  <c r="I252" i="1"/>
  <c r="I220" i="1"/>
  <c r="I188" i="1"/>
  <c r="I124" i="1"/>
  <c r="I92" i="1"/>
  <c r="I12" i="1"/>
  <c r="I347" i="1"/>
  <c r="I315" i="1"/>
  <c r="I267" i="1"/>
  <c r="I219" i="1"/>
  <c r="I171" i="1"/>
  <c r="I91" i="1"/>
  <c r="I43" i="1"/>
  <c r="I490" i="1"/>
  <c r="I314" i="1"/>
  <c r="I266" i="1"/>
  <c r="I234" i="1"/>
  <c r="I170" i="1"/>
  <c r="I473" i="1"/>
  <c r="I409" i="1"/>
  <c r="I345" i="1"/>
  <c r="I265" i="1"/>
  <c r="I217" i="1"/>
  <c r="I201" i="1"/>
  <c r="I169" i="1"/>
  <c r="I121" i="1"/>
  <c r="I89" i="1"/>
  <c r="I472" i="1"/>
  <c r="I456" i="1"/>
  <c r="I503" i="1"/>
  <c r="I391" i="1"/>
  <c r="I359" i="1"/>
  <c r="I311" i="1"/>
  <c r="I295" i="1"/>
  <c r="I199" i="1"/>
  <c r="I119" i="1"/>
  <c r="I71" i="1"/>
  <c r="I237" i="1"/>
  <c r="I221" i="1"/>
  <c r="I189" i="1"/>
  <c r="I141" i="1"/>
  <c r="I45" i="1"/>
  <c r="I508" i="1"/>
  <c r="I476" i="1"/>
  <c r="I428" i="1"/>
  <c r="I364" i="1"/>
  <c r="I236" i="1"/>
  <c r="I140" i="1"/>
  <c r="I108" i="1"/>
  <c r="I475" i="1"/>
  <c r="I411" i="1"/>
  <c r="I363" i="1"/>
  <c r="I107" i="1"/>
  <c r="I75" i="1"/>
  <c r="I362" i="1"/>
  <c r="I218" i="1"/>
  <c r="I520" i="1"/>
  <c r="I455" i="1"/>
  <c r="I263" i="1"/>
  <c r="I215" i="1"/>
  <c r="I167" i="1"/>
  <c r="I55" i="1"/>
  <c r="I23" i="1"/>
  <c r="I125" i="1"/>
  <c r="I93" i="1"/>
  <c r="I13" i="1"/>
  <c r="I44" i="1"/>
  <c r="I491" i="1"/>
  <c r="I459" i="1"/>
  <c r="I235" i="1"/>
  <c r="I139" i="1"/>
  <c r="I474" i="1"/>
  <c r="I458" i="1"/>
  <c r="I410" i="1"/>
  <c r="I346" i="1"/>
  <c r="I138" i="1"/>
  <c r="I106" i="1"/>
  <c r="I90" i="1"/>
  <c r="I74" i="1"/>
  <c r="I42" i="1"/>
  <c r="I457" i="1"/>
  <c r="I361" i="1"/>
  <c r="I329" i="1"/>
  <c r="I313" i="1"/>
  <c r="I73" i="1"/>
  <c r="I25" i="1"/>
  <c r="I519" i="1"/>
  <c r="I439" i="1"/>
  <c r="I407" i="1"/>
  <c r="I327" i="1"/>
  <c r="I183" i="1"/>
  <c r="I191" i="1"/>
  <c r="I175" i="1"/>
  <c r="I159" i="1"/>
  <c r="I143" i="1"/>
  <c r="I127" i="1"/>
  <c r="I111" i="1"/>
  <c r="I95" i="1"/>
  <c r="I79" i="1"/>
  <c r="I63" i="1"/>
  <c r="I47" i="1"/>
  <c r="I31" i="1"/>
  <c r="I15" i="1"/>
  <c r="I398" i="1"/>
  <c r="I382" i="1"/>
  <c r="I366" i="1"/>
  <c r="I350" i="1"/>
  <c r="I334" i="1"/>
  <c r="I318" i="1"/>
  <c r="I302" i="1"/>
  <c r="I286" i="1"/>
  <c r="I270" i="1"/>
  <c r="I254" i="1"/>
  <c r="I238" i="1"/>
  <c r="I222" i="1"/>
  <c r="I206" i="1"/>
  <c r="I190" i="1"/>
  <c r="I174" i="1"/>
  <c r="I158" i="1"/>
  <c r="I142" i="1"/>
  <c r="I126" i="1"/>
  <c r="I110" i="1"/>
  <c r="I94" i="1"/>
  <c r="I78" i="1"/>
  <c r="I62" i="1"/>
  <c r="I46" i="1"/>
  <c r="I30" i="1"/>
  <c r="I14" i="1"/>
  <c r="I293" i="1" l="1"/>
  <c r="I495" i="1"/>
  <c r="I224" i="1"/>
  <c r="I290" i="1"/>
  <c r="I168" i="1"/>
  <c r="I100" i="1"/>
  <c r="I278" i="1"/>
  <c r="I255" i="1"/>
  <c r="I240" i="1"/>
  <c r="I353" i="1"/>
  <c r="I166" i="1"/>
  <c r="I115" i="1"/>
  <c r="I308" i="1"/>
  <c r="I294" i="1"/>
  <c r="I512" i="1"/>
  <c r="I182" i="1"/>
  <c r="I131" i="1"/>
  <c r="I341" i="1"/>
  <c r="I285" i="1"/>
  <c r="I385" i="1"/>
  <c r="I198" i="1"/>
  <c r="I50" i="1"/>
  <c r="I288" i="1"/>
  <c r="I354" i="1"/>
  <c r="I232" i="1"/>
  <c r="I32" i="1"/>
  <c r="I66" i="1"/>
  <c r="I81" i="1"/>
  <c r="I417" i="1"/>
  <c r="I230" i="1"/>
  <c r="I179" i="1"/>
  <c r="I333" i="1"/>
  <c r="I433" i="1"/>
  <c r="I64" i="1"/>
  <c r="I405" i="1"/>
  <c r="I374" i="1"/>
  <c r="I351" i="1"/>
  <c r="I113" i="1"/>
  <c r="I194" i="1"/>
  <c r="I494" i="1"/>
  <c r="I6" i="1"/>
  <c r="I211" i="1"/>
  <c r="I372" i="1"/>
  <c r="I228" i="1"/>
  <c r="I114" i="1"/>
  <c r="I352" i="1"/>
  <c r="I418" i="1"/>
  <c r="I22" i="1"/>
  <c r="I404" i="1"/>
  <c r="I339" i="1"/>
  <c r="I406" i="1"/>
  <c r="I368" i="1"/>
  <c r="I434" i="1"/>
  <c r="I312" i="1"/>
  <c r="I422" i="1"/>
  <c r="I397" i="1"/>
  <c r="I497" i="1"/>
  <c r="I54" i="1"/>
  <c r="I128" i="1"/>
  <c r="I438" i="1"/>
  <c r="I521" i="1"/>
  <c r="I210" i="1"/>
  <c r="I53" i="1"/>
  <c r="I344" i="1"/>
  <c r="I275" i="1"/>
  <c r="I144" i="1"/>
  <c r="I387" i="1"/>
  <c r="I84" i="1"/>
  <c r="I485" i="1"/>
  <c r="I454" i="1"/>
  <c r="I176" i="1"/>
  <c r="I431" i="1"/>
  <c r="I429" i="1"/>
  <c r="I509" i="1"/>
  <c r="I416" i="1"/>
  <c r="I273" i="1"/>
  <c r="I226" i="1"/>
  <c r="I482" i="1"/>
  <c r="I69" i="1"/>
  <c r="I86" i="1"/>
  <c r="I104" i="1"/>
  <c r="I360" i="1"/>
  <c r="I35" i="1"/>
  <c r="I291" i="1"/>
  <c r="I160" i="1"/>
  <c r="I484" i="1"/>
  <c r="I403" i="1"/>
  <c r="I132" i="1"/>
  <c r="I518" i="1"/>
  <c r="I480" i="1"/>
  <c r="I150" i="1"/>
  <c r="I99" i="1"/>
  <c r="I309" i="1"/>
  <c r="I511" i="1"/>
  <c r="I306" i="1"/>
  <c r="I184" i="1"/>
  <c r="I483" i="1"/>
  <c r="I325" i="1"/>
  <c r="I33" i="1"/>
  <c r="I414" i="1"/>
  <c r="I499" i="1"/>
  <c r="I34" i="1"/>
  <c r="I338" i="1"/>
  <c r="I16" i="1"/>
  <c r="I388" i="1"/>
  <c r="I326" i="1"/>
  <c r="I65" i="1"/>
  <c r="I401" i="1"/>
  <c r="I197" i="1"/>
  <c r="I342" i="1"/>
  <c r="I162" i="1"/>
  <c r="I48" i="1"/>
  <c r="I389" i="1"/>
  <c r="I320" i="1"/>
  <c r="I8" i="1"/>
  <c r="I116" i="1"/>
  <c r="I98" i="1"/>
  <c r="I449" i="1"/>
  <c r="I24" i="1"/>
  <c r="I367" i="1"/>
  <c r="I465" i="1"/>
  <c r="I40" i="1"/>
  <c r="I437" i="1"/>
  <c r="I383" i="1"/>
  <c r="I489" i="1"/>
  <c r="I225" i="1"/>
  <c r="I21" i="1"/>
  <c r="I56" i="1"/>
  <c r="I243" i="1"/>
  <c r="I355" i="1"/>
  <c r="I145" i="1"/>
  <c r="I384" i="1"/>
  <c r="I37" i="1"/>
  <c r="I452" i="1"/>
  <c r="I371" i="1"/>
  <c r="I161" i="1"/>
  <c r="I257" i="1"/>
  <c r="I88" i="1"/>
  <c r="I245" i="1"/>
  <c r="I501" i="1"/>
  <c r="I470" i="1"/>
  <c r="I192" i="1"/>
  <c r="I447" i="1"/>
  <c r="I445" i="1"/>
  <c r="I177" i="1"/>
  <c r="I432" i="1"/>
  <c r="I289" i="1"/>
  <c r="I242" i="1"/>
  <c r="I498" i="1"/>
  <c r="I85" i="1"/>
  <c r="I102" i="1"/>
  <c r="I120" i="1"/>
  <c r="I376" i="1"/>
  <c r="I51" i="1"/>
  <c r="I307" i="1"/>
  <c r="I4" i="1"/>
  <c r="I500" i="1"/>
  <c r="I419" i="1"/>
  <c r="I180" i="1"/>
  <c r="I239" i="1"/>
  <c r="I253" i="1"/>
  <c r="I467" i="1"/>
  <c r="I292" i="1"/>
  <c r="I17" i="1"/>
  <c r="I149" i="1"/>
  <c r="I148" i="1"/>
  <c r="I271" i="1"/>
  <c r="I369" i="1"/>
  <c r="I200" i="1"/>
  <c r="I356" i="1"/>
  <c r="I272" i="1"/>
  <c r="I301" i="1"/>
  <c r="I214" i="1"/>
  <c r="I163" i="1"/>
  <c r="I319" i="1"/>
  <c r="I462" i="1"/>
  <c r="I358" i="1"/>
  <c r="I386" i="1"/>
  <c r="I336" i="1"/>
  <c r="I80" i="1"/>
  <c r="I421" i="1"/>
  <c r="I513" i="1"/>
  <c r="I296" i="1"/>
  <c r="I96" i="1"/>
  <c r="I340" i="1"/>
  <c r="I381" i="1"/>
  <c r="I38" i="1"/>
  <c r="I420" i="1"/>
  <c r="I505" i="1"/>
  <c r="I72" i="1"/>
  <c r="I259" i="1"/>
  <c r="I413" i="1"/>
  <c r="I70" i="1"/>
  <c r="I261" i="1"/>
  <c r="I486" i="1"/>
  <c r="I207" i="1"/>
  <c r="I461" i="1"/>
  <c r="I193" i="1"/>
  <c r="I305" i="1"/>
  <c r="I258" i="1"/>
  <c r="I514" i="1"/>
  <c r="I101" i="1"/>
  <c r="I118" i="1"/>
  <c r="I136" i="1"/>
  <c r="I392" i="1"/>
  <c r="I67" i="1"/>
  <c r="I323" i="1"/>
  <c r="I36" i="1"/>
  <c r="I435" i="1"/>
  <c r="I212" i="1"/>
  <c r="I262" i="1"/>
  <c r="I493" i="1"/>
  <c r="I337" i="1"/>
  <c r="I133" i="1"/>
  <c r="I496" i="1"/>
  <c r="I510" i="1"/>
  <c r="I18" i="1"/>
  <c r="I269" i="1"/>
  <c r="I256" i="1"/>
  <c r="I322" i="1"/>
  <c r="I165" i="1"/>
  <c r="I164" i="1"/>
  <c r="I310" i="1"/>
  <c r="I287" i="1"/>
  <c r="I49" i="1"/>
  <c r="I130" i="1"/>
  <c r="I430" i="1"/>
  <c r="I181" i="1"/>
  <c r="I216" i="1"/>
  <c r="I147" i="1"/>
  <c r="I196" i="1"/>
  <c r="I357" i="1"/>
  <c r="I303" i="1"/>
  <c r="I146" i="1"/>
  <c r="I446" i="1"/>
  <c r="I244" i="1"/>
  <c r="I373" i="1"/>
  <c r="I317" i="1"/>
  <c r="I304" i="1"/>
  <c r="I370" i="1"/>
  <c r="I213" i="1"/>
  <c r="I248" i="1"/>
  <c r="I276" i="1"/>
  <c r="I82" i="1"/>
  <c r="I335" i="1"/>
  <c r="I97" i="1"/>
  <c r="I178" i="1"/>
  <c r="I478" i="1"/>
  <c r="I229" i="1"/>
  <c r="I264" i="1"/>
  <c r="I195" i="1"/>
  <c r="I324" i="1"/>
  <c r="I349" i="1"/>
  <c r="I402" i="1"/>
  <c r="I280" i="1"/>
  <c r="I390" i="1"/>
  <c r="I365" i="1"/>
  <c r="I209" i="1"/>
  <c r="I5" i="1"/>
  <c r="I227" i="1"/>
  <c r="I129" i="1"/>
  <c r="I481" i="1"/>
  <c r="I112" i="1"/>
  <c r="I436" i="1"/>
  <c r="I20" i="1"/>
  <c r="I453" i="1"/>
  <c r="I399" i="1"/>
  <c r="I241" i="1"/>
  <c r="I450" i="1"/>
  <c r="I328" i="1"/>
  <c r="I3" i="1"/>
  <c r="I516" i="1"/>
  <c r="I52" i="1"/>
  <c r="I469" i="1"/>
  <c r="I415" i="1"/>
  <c r="I400" i="1"/>
  <c r="I466" i="1"/>
  <c r="I19" i="1"/>
  <c r="I468" i="1"/>
  <c r="I517" i="1"/>
  <c r="I463" i="1"/>
  <c r="I448" i="1"/>
  <c r="I277" i="1"/>
  <c r="I246" i="1"/>
  <c r="I502" i="1"/>
  <c r="I223" i="1"/>
  <c r="I479" i="1"/>
  <c r="I477" i="1"/>
  <c r="I208" i="1"/>
  <c r="I464" i="1"/>
  <c r="I321" i="1"/>
  <c r="I274" i="1"/>
  <c r="I515" i="1"/>
  <c r="I117" i="1"/>
  <c r="I134" i="1"/>
  <c r="I152" i="1"/>
  <c r="I408" i="1"/>
  <c r="I83" i="1"/>
  <c r="I68" i="1"/>
  <c r="I451" i="1"/>
  <c r="I260" i="1"/>
  <c r="K2" i="1"/>
  <c r="J495" i="1" s="1"/>
  <c r="I2" i="1"/>
  <c r="J462" i="1" l="1"/>
  <c r="J369" i="1"/>
  <c r="J56" i="1"/>
  <c r="J96" i="1"/>
  <c r="J48" i="1"/>
  <c r="J184" i="1"/>
  <c r="J445" i="1"/>
  <c r="J258" i="1"/>
  <c r="J120" i="1"/>
  <c r="J16" i="1"/>
  <c r="J239" i="1"/>
  <c r="J431" i="1"/>
  <c r="J36" i="1"/>
  <c r="J86" i="1"/>
  <c r="J367" i="1"/>
  <c r="J132" i="1"/>
  <c r="J161" i="1"/>
  <c r="J413" i="1"/>
  <c r="J344" i="1"/>
  <c r="J494" i="1"/>
  <c r="J354" i="1"/>
  <c r="J479" i="1"/>
  <c r="J112" i="1"/>
  <c r="J304" i="1"/>
  <c r="J496" i="1"/>
  <c r="J305" i="1"/>
  <c r="J319" i="1"/>
  <c r="J102" i="1"/>
  <c r="J21" i="1"/>
  <c r="J338" i="1"/>
  <c r="J403" i="1"/>
  <c r="J53" i="1"/>
  <c r="J194" i="1"/>
  <c r="J179" i="1"/>
  <c r="J278" i="1"/>
  <c r="J117" i="1"/>
  <c r="J328" i="1"/>
  <c r="J97" i="1"/>
  <c r="J164" i="1"/>
  <c r="J163" i="1"/>
  <c r="J192" i="1"/>
  <c r="J225" i="1"/>
  <c r="J511" i="1"/>
  <c r="J210" i="1"/>
  <c r="J352" i="1"/>
  <c r="J113" i="1"/>
  <c r="J230" i="1"/>
  <c r="J260" i="1"/>
  <c r="J450" i="1"/>
  <c r="J216" i="1"/>
  <c r="J392" i="1"/>
  <c r="J505" i="1"/>
  <c r="J500" i="1"/>
  <c r="J37" i="1"/>
  <c r="J197" i="1"/>
  <c r="J226" i="1"/>
  <c r="J198" i="1"/>
  <c r="J451" i="1"/>
  <c r="J400" i="1"/>
  <c r="J324" i="1"/>
  <c r="J181" i="1"/>
  <c r="J322" i="1"/>
  <c r="J207" i="1"/>
  <c r="J80" i="1"/>
  <c r="J4" i="1"/>
  <c r="J501" i="1"/>
  <c r="J383" i="1"/>
  <c r="J401" i="1"/>
  <c r="J99" i="1"/>
  <c r="J273" i="1"/>
  <c r="J438" i="1"/>
  <c r="J228" i="1"/>
  <c r="J290" i="1"/>
  <c r="J321" i="1"/>
  <c r="J415" i="1"/>
  <c r="J5" i="1"/>
  <c r="J195" i="1"/>
  <c r="J446" i="1"/>
  <c r="J256" i="1"/>
  <c r="J118" i="1"/>
  <c r="J38" i="1"/>
  <c r="J272" i="1"/>
  <c r="J292" i="1"/>
  <c r="J289" i="1"/>
  <c r="J145" i="1"/>
  <c r="J437" i="1"/>
  <c r="J65" i="1"/>
  <c r="J33" i="1"/>
  <c r="J35" i="1"/>
  <c r="J416" i="1"/>
  <c r="J387" i="1"/>
  <c r="J406" i="1"/>
  <c r="J372" i="1"/>
  <c r="J405" i="1"/>
  <c r="J66" i="1"/>
  <c r="J285" i="1"/>
  <c r="J166" i="1"/>
  <c r="J464" i="1"/>
  <c r="J469" i="1"/>
  <c r="J209" i="1"/>
  <c r="J264" i="1"/>
  <c r="J146" i="1"/>
  <c r="J130" i="1"/>
  <c r="J269" i="1"/>
  <c r="J397" i="1"/>
  <c r="J333" i="1"/>
  <c r="J255" i="1"/>
  <c r="J134" i="1"/>
  <c r="J3" i="1"/>
  <c r="J178" i="1"/>
  <c r="J310" i="1"/>
  <c r="J259" i="1"/>
  <c r="J271" i="1"/>
  <c r="J447" i="1"/>
  <c r="J162" i="1"/>
  <c r="J69" i="1"/>
  <c r="J422" i="1"/>
  <c r="J512" i="1"/>
  <c r="J19" i="1"/>
  <c r="J402" i="1"/>
  <c r="J147" i="1"/>
  <c r="J67" i="1"/>
  <c r="J72" i="1"/>
  <c r="J148" i="1"/>
  <c r="J452" i="1"/>
  <c r="J34" i="1"/>
  <c r="J484" i="1"/>
  <c r="J312" i="1"/>
  <c r="J50" i="1"/>
  <c r="J129" i="1"/>
  <c r="J337" i="1"/>
  <c r="J421" i="1"/>
  <c r="J498" i="1"/>
  <c r="J98" i="1"/>
  <c r="J160" i="1"/>
  <c r="J417" i="1"/>
  <c r="J274" i="1"/>
  <c r="J82" i="1"/>
  <c r="J493" i="1"/>
  <c r="J420" i="1"/>
  <c r="J17" i="1"/>
  <c r="J242" i="1"/>
  <c r="J384" i="1"/>
  <c r="J116" i="1"/>
  <c r="J414" i="1"/>
  <c r="J291" i="1"/>
  <c r="J84" i="1"/>
  <c r="J368" i="1"/>
  <c r="J374" i="1"/>
  <c r="J115" i="1"/>
  <c r="J68" i="1"/>
  <c r="J277" i="1"/>
  <c r="J399" i="1"/>
  <c r="J276" i="1"/>
  <c r="J430" i="1"/>
  <c r="J262" i="1"/>
  <c r="J486" i="1"/>
  <c r="J336" i="1"/>
  <c r="J307" i="1"/>
  <c r="J245" i="1"/>
  <c r="J8" i="1"/>
  <c r="J150" i="1"/>
  <c r="J128" i="1"/>
  <c r="J224" i="1"/>
  <c r="J83" i="1"/>
  <c r="J448" i="1"/>
  <c r="J453" i="1"/>
  <c r="J248" i="1"/>
  <c r="J212" i="1"/>
  <c r="J101" i="1"/>
  <c r="J261" i="1"/>
  <c r="J381" i="1"/>
  <c r="J386" i="1"/>
  <c r="J356" i="1"/>
  <c r="J467" i="1"/>
  <c r="J51" i="1"/>
  <c r="J432" i="1"/>
  <c r="J88" i="1"/>
  <c r="J355" i="1"/>
  <c r="J40" i="1"/>
  <c r="J320" i="1"/>
  <c r="J326" i="1"/>
  <c r="J325" i="1"/>
  <c r="J480" i="1"/>
  <c r="J360" i="1"/>
  <c r="J509" i="1"/>
  <c r="J144" i="1"/>
  <c r="J54" i="1"/>
  <c r="J339" i="1"/>
  <c r="J211" i="1"/>
  <c r="J64" i="1"/>
  <c r="J32" i="1"/>
  <c r="J341" i="1"/>
  <c r="J353" i="1"/>
  <c r="J281" i="1"/>
  <c r="J440" i="1"/>
  <c r="J251" i="1"/>
  <c r="J9" i="1"/>
  <c r="J57" i="1"/>
  <c r="J87" i="1"/>
  <c r="J249" i="1"/>
  <c r="J442" i="1"/>
  <c r="J330" i="1"/>
  <c r="J297" i="1"/>
  <c r="J444" i="1"/>
  <c r="J279" i="1"/>
  <c r="J7" i="1"/>
  <c r="J247" i="1"/>
  <c r="J282" i="1"/>
  <c r="J441" i="1"/>
  <c r="J283" i="1"/>
  <c r="J471" i="1"/>
  <c r="J10" i="1"/>
  <c r="J58" i="1"/>
  <c r="J250" i="1"/>
  <c r="J443" i="1"/>
  <c r="J11" i="1"/>
  <c r="J59" i="1"/>
  <c r="J135" i="1"/>
  <c r="J331" i="1"/>
  <c r="J171" i="1"/>
  <c r="J237" i="1"/>
  <c r="J167" i="1"/>
  <c r="J103" i="1"/>
  <c r="J235" i="1"/>
  <c r="J106" i="1"/>
  <c r="J313" i="1"/>
  <c r="J439" i="1"/>
  <c r="J153" i="1"/>
  <c r="J26" i="1"/>
  <c r="J254" i="1"/>
  <c r="J43" i="1"/>
  <c r="J380" i="1"/>
  <c r="J427" i="1"/>
  <c r="J474" i="1"/>
  <c r="J233" i="1"/>
  <c r="J460" i="1"/>
  <c r="J108" i="1"/>
  <c r="J393" i="1"/>
  <c r="J334" i="1"/>
  <c r="J78" i="1"/>
  <c r="J41" i="1"/>
  <c r="J348" i="1"/>
  <c r="J155" i="1"/>
  <c r="J47" i="1"/>
  <c r="J190" i="1"/>
  <c r="J268" i="1"/>
  <c r="J455" i="1"/>
  <c r="J410" i="1"/>
  <c r="J39" i="1"/>
  <c r="J411" i="1"/>
  <c r="J31" i="1"/>
  <c r="J46" i="1"/>
  <c r="J267" i="1"/>
  <c r="J76" i="1"/>
  <c r="J263" i="1"/>
  <c r="J491" i="1"/>
  <c r="J361" i="1"/>
  <c r="J220" i="1"/>
  <c r="J363" i="1"/>
  <c r="J15" i="1"/>
  <c r="J30" i="1"/>
  <c r="J29" i="1"/>
  <c r="J215" i="1"/>
  <c r="J138" i="1"/>
  <c r="J379" i="1"/>
  <c r="J121" i="1"/>
  <c r="J187" i="1"/>
  <c r="J127" i="1"/>
  <c r="J14" i="1"/>
  <c r="J109" i="1"/>
  <c r="J124" i="1"/>
  <c r="J473" i="1"/>
  <c r="J89" i="1"/>
  <c r="J311" i="1"/>
  <c r="J364" i="1"/>
  <c r="J75" i="1"/>
  <c r="J61" i="1"/>
  <c r="J77" i="1"/>
  <c r="J111" i="1"/>
  <c r="J382" i="1"/>
  <c r="J126" i="1"/>
  <c r="J23" i="1"/>
  <c r="J327" i="1"/>
  <c r="J12" i="1"/>
  <c r="J141" i="1"/>
  <c r="J93" i="1"/>
  <c r="J314" i="1"/>
  <c r="J456" i="1"/>
  <c r="J488" i="1"/>
  <c r="J394" i="1"/>
  <c r="J458" i="1"/>
  <c r="J173" i="1"/>
  <c r="J504" i="1"/>
  <c r="J318" i="1"/>
  <c r="J343" i="1"/>
  <c r="J487" i="1"/>
  <c r="J424" i="1"/>
  <c r="J201" i="1"/>
  <c r="J185" i="1"/>
  <c r="J300" i="1"/>
  <c r="J151" i="1"/>
  <c r="J28" i="1"/>
  <c r="J492" i="1"/>
  <c r="J375" i="1"/>
  <c r="J143" i="1"/>
  <c r="J170" i="1"/>
  <c r="J459" i="1"/>
  <c r="J359" i="1"/>
  <c r="J107" i="1"/>
  <c r="J60" i="1"/>
  <c r="J142" i="1"/>
  <c r="J91" i="1"/>
  <c r="J395" i="1"/>
  <c r="J221" i="1"/>
  <c r="J55" i="1"/>
  <c r="J27" i="1"/>
  <c r="J139" i="1"/>
  <c r="J90" i="1"/>
  <c r="J73" i="1"/>
  <c r="J407" i="1"/>
  <c r="J74" i="1"/>
  <c r="J345" i="1"/>
  <c r="J199" i="1"/>
  <c r="J140" i="1"/>
  <c r="J218" i="1"/>
  <c r="J79" i="1"/>
  <c r="J222" i="1"/>
  <c r="J490" i="1"/>
  <c r="J472" i="1"/>
  <c r="J42" i="1"/>
  <c r="J316" i="1"/>
  <c r="J520" i="1"/>
  <c r="J157" i="1"/>
  <c r="J191" i="1"/>
  <c r="J45" i="1"/>
  <c r="J13" i="1"/>
  <c r="J231" i="1"/>
  <c r="J217" i="1"/>
  <c r="J156" i="1"/>
  <c r="J71" i="1"/>
  <c r="J377" i="1"/>
  <c r="J175" i="1"/>
  <c r="J266" i="1"/>
  <c r="J425" i="1"/>
  <c r="J44" i="1"/>
  <c r="J457" i="1"/>
  <c r="J186" i="1"/>
  <c r="J154" i="1"/>
  <c r="J159" i="1"/>
  <c r="J174" i="1"/>
  <c r="J234" i="1"/>
  <c r="J346" i="1"/>
  <c r="J169" i="1"/>
  <c r="J391" i="1"/>
  <c r="J476" i="1"/>
  <c r="J332" i="1"/>
  <c r="J158" i="1"/>
  <c r="J219" i="1"/>
  <c r="J299" i="1"/>
  <c r="J519" i="1"/>
  <c r="J298" i="1"/>
  <c r="J396" i="1"/>
  <c r="J428" i="1"/>
  <c r="J137" i="1"/>
  <c r="J270" i="1"/>
  <c r="J412" i="1"/>
  <c r="J92" i="1"/>
  <c r="J409" i="1"/>
  <c r="J203" i="1"/>
  <c r="J295" i="1"/>
  <c r="J236" i="1"/>
  <c r="J362" i="1"/>
  <c r="J507" i="1"/>
  <c r="J95" i="1"/>
  <c r="J366" i="1"/>
  <c r="J238" i="1"/>
  <c r="J110" i="1"/>
  <c r="J123" i="1"/>
  <c r="J189" i="1"/>
  <c r="J125" i="1"/>
  <c r="J205" i="1"/>
  <c r="J25" i="1"/>
  <c r="J350" i="1"/>
  <c r="J94" i="1"/>
  <c r="J172" i="1"/>
  <c r="J183" i="1"/>
  <c r="J265" i="1"/>
  <c r="J119" i="1"/>
  <c r="J506" i="1"/>
  <c r="J63" i="1"/>
  <c r="J206" i="1"/>
  <c r="J347" i="1"/>
  <c r="J378" i="1"/>
  <c r="J204" i="1"/>
  <c r="J284" i="1"/>
  <c r="J475" i="1"/>
  <c r="J62" i="1"/>
  <c r="J315" i="1"/>
  <c r="J426" i="1"/>
  <c r="J252" i="1"/>
  <c r="J503" i="1"/>
  <c r="J508" i="1"/>
  <c r="J202" i="1"/>
  <c r="J302" i="1"/>
  <c r="J122" i="1"/>
  <c r="J105" i="1"/>
  <c r="J423" i="1"/>
  <c r="J286" i="1"/>
  <c r="J329" i="1"/>
  <c r="J188" i="1"/>
  <c r="J398" i="1"/>
  <c r="J193" i="1"/>
  <c r="J419" i="1"/>
  <c r="J342" i="1"/>
  <c r="J454" i="1"/>
  <c r="J294" i="1"/>
  <c r="J502" i="1"/>
  <c r="J373" i="1"/>
  <c r="J149" i="1"/>
  <c r="J489" i="1"/>
  <c r="J309" i="1"/>
  <c r="J485" i="1"/>
  <c r="J521" i="1"/>
  <c r="J434" i="1"/>
  <c r="J114" i="1"/>
  <c r="J351" i="1"/>
  <c r="J168" i="1"/>
  <c r="J227" i="1"/>
  <c r="J301" i="1"/>
  <c r="J81" i="1"/>
  <c r="J52" i="1"/>
  <c r="J229" i="1"/>
  <c r="J18" i="1"/>
  <c r="J514" i="1"/>
  <c r="J340" i="1"/>
  <c r="J200" i="1"/>
  <c r="J253" i="1"/>
  <c r="J376" i="1"/>
  <c r="J177" i="1"/>
  <c r="J257" i="1"/>
  <c r="J465" i="1"/>
  <c r="J389" i="1"/>
  <c r="J388" i="1"/>
  <c r="J483" i="1"/>
  <c r="J518" i="1"/>
  <c r="J104" i="1"/>
  <c r="J429" i="1"/>
  <c r="J275" i="1"/>
  <c r="J497" i="1"/>
  <c r="J404" i="1"/>
  <c r="J6" i="1"/>
  <c r="J433" i="1"/>
  <c r="J232" i="1"/>
  <c r="J131" i="1"/>
  <c r="J240" i="1"/>
  <c r="J293" i="1"/>
  <c r="J22" i="1"/>
  <c r="J182" i="1"/>
  <c r="J468" i="1"/>
  <c r="J280" i="1"/>
  <c r="J196" i="1"/>
  <c r="J323" i="1"/>
  <c r="J296" i="1"/>
  <c r="J180" i="1"/>
  <c r="J371" i="1"/>
  <c r="J24" i="1"/>
  <c r="J306" i="1"/>
  <c r="J176" i="1"/>
  <c r="J418" i="1"/>
  <c r="J288" i="1"/>
  <c r="J223" i="1"/>
  <c r="J481" i="1"/>
  <c r="J317" i="1"/>
  <c r="J2" i="1"/>
  <c r="J133" i="1"/>
  <c r="J513" i="1"/>
  <c r="J85" i="1"/>
  <c r="J449" i="1"/>
  <c r="J482" i="1"/>
  <c r="J100" i="1"/>
  <c r="J515" i="1"/>
  <c r="J466" i="1"/>
  <c r="J349" i="1"/>
  <c r="J335" i="1"/>
  <c r="J165" i="1"/>
  <c r="J461" i="1"/>
  <c r="J214" i="1"/>
  <c r="J470" i="1"/>
  <c r="J499" i="1"/>
  <c r="J308" i="1"/>
  <c r="J246" i="1"/>
  <c r="J241" i="1"/>
  <c r="J244" i="1"/>
  <c r="J136" i="1"/>
  <c r="J385" i="1"/>
  <c r="J408" i="1"/>
  <c r="J208" i="1"/>
  <c r="J463" i="1"/>
  <c r="J20" i="1"/>
  <c r="J365" i="1"/>
  <c r="J213" i="1"/>
  <c r="J303" i="1"/>
  <c r="J49" i="1"/>
  <c r="J435" i="1"/>
  <c r="J70" i="1"/>
  <c r="J358" i="1"/>
  <c r="J243" i="1"/>
  <c r="J152" i="1"/>
  <c r="J477" i="1"/>
  <c r="J517" i="1"/>
  <c r="J516" i="1"/>
  <c r="J436" i="1"/>
  <c r="J390" i="1"/>
  <c r="J478" i="1"/>
  <c r="J370" i="1"/>
  <c r="J357" i="1"/>
  <c r="J287" i="1"/>
  <c r="J510" i="1"/>
</calcChain>
</file>

<file path=xl/sharedStrings.xml><?xml version="1.0" encoding="utf-8"?>
<sst xmlns="http://schemas.openxmlformats.org/spreadsheetml/2006/main" count="5459" uniqueCount="671">
  <si>
    <t>school_name</t>
  </si>
  <si>
    <t>school_name</t>
    <phoneticPr fontId="2" type="noConversion"/>
  </si>
  <si>
    <t>region</t>
  </si>
  <si>
    <t>region</t>
    <phoneticPr fontId="2" type="noConversion"/>
  </si>
  <si>
    <t>remote_area_level</t>
  </si>
  <si>
    <t>remote_area_level</t>
    <phoneticPr fontId="2" type="noConversion"/>
  </si>
  <si>
    <t>count_111</t>
  </si>
  <si>
    <t>count_111</t>
    <phoneticPr fontId="2" type="noConversion"/>
  </si>
  <si>
    <t>count_113</t>
  </si>
  <si>
    <t>count_113</t>
    <phoneticPr fontId="2" type="noConversion"/>
  </si>
  <si>
    <t>change_rate</t>
  </si>
  <si>
    <t>change_rate</t>
    <phoneticPr fontId="2" type="noConversion"/>
  </si>
  <si>
    <t>change_category</t>
  </si>
  <si>
    <t>change_category</t>
    <phoneticPr fontId="2" type="noConversion"/>
  </si>
  <si>
    <t>is_below_median</t>
  </si>
  <si>
    <t>is_below_median</t>
    <phoneticPr fontId="2" type="noConversion"/>
  </si>
  <si>
    <t>縣市名稱</t>
  </si>
  <si>
    <t>臺北市</t>
  </si>
  <si>
    <t>臺東縣</t>
  </si>
  <si>
    <t>新北市</t>
  </si>
  <si>
    <t>宜蘭縣</t>
  </si>
  <si>
    <t>桃園市</t>
  </si>
  <si>
    <t>新竹縣</t>
  </si>
  <si>
    <t>苗栗縣</t>
  </si>
  <si>
    <t>臺中市</t>
  </si>
  <si>
    <t>彰化縣</t>
  </si>
  <si>
    <t>南投縣</t>
  </si>
  <si>
    <t>雲林縣</t>
  </si>
  <si>
    <t>嘉義縣</t>
  </si>
  <si>
    <t>臺南市</t>
  </si>
  <si>
    <t>高雄市</t>
  </si>
  <si>
    <t>屏東縣</t>
  </si>
  <si>
    <t>花蓮縣</t>
  </si>
  <si>
    <t>澎湖縣</t>
  </si>
  <si>
    <t>基隆市</t>
  </si>
  <si>
    <t>新竹市</t>
  </si>
  <si>
    <t>嘉義市</t>
  </si>
  <si>
    <t>金門縣</t>
  </si>
  <si>
    <t>連江縣</t>
  </si>
  <si>
    <t>縣市名稱</t>
    <phoneticPr fontId="2" type="noConversion"/>
  </si>
  <si>
    <t>學校名稱</t>
  </si>
  <si>
    <t>國立臺灣戲曲學院附設高職部</t>
  </si>
  <si>
    <t>國立臺東專科學校附設高職部</t>
  </si>
  <si>
    <t>國立華僑高級中等學校</t>
  </si>
  <si>
    <t>私立淡江高中</t>
  </si>
  <si>
    <t>私立康橋高中</t>
  </si>
  <si>
    <t>私立金陵女中</t>
  </si>
  <si>
    <t>新北市裕德高級中等學校</t>
  </si>
  <si>
    <t>財團法人南山高中</t>
  </si>
  <si>
    <t>財團法人恆毅高中</t>
  </si>
  <si>
    <t>私立聖心女中</t>
  </si>
  <si>
    <t>私立崇義高中</t>
  </si>
  <si>
    <t>新北市福瑞斯特高中</t>
  </si>
  <si>
    <t>私立東海高中</t>
  </si>
  <si>
    <t>私立格致高中</t>
  </si>
  <si>
    <t>私立醒吾高中</t>
  </si>
  <si>
    <t>私立徐匯高中</t>
  </si>
  <si>
    <t>新北市崇光高中</t>
  </si>
  <si>
    <t>私立光仁高中</t>
  </si>
  <si>
    <t>私立竹林高中</t>
  </si>
  <si>
    <t>私立及人高中</t>
  </si>
  <si>
    <t>財團法人辭修高中</t>
  </si>
  <si>
    <t>新北市林口康橋國際高中</t>
  </si>
  <si>
    <t>私立時雨高中</t>
  </si>
  <si>
    <t>市立泰山高中</t>
  </si>
  <si>
    <t>市立板橋高中</t>
  </si>
  <si>
    <t>市立新店高中</t>
  </si>
  <si>
    <t>市立中和高中</t>
  </si>
  <si>
    <t>市立新莊高中</t>
  </si>
  <si>
    <t>市立新北高中</t>
  </si>
  <si>
    <t>市立林口高中</t>
  </si>
  <si>
    <t>市立海山高中</t>
  </si>
  <si>
    <t>市立三重高中</t>
  </si>
  <si>
    <t>市立永平高中</t>
  </si>
  <si>
    <t>市立樹林高中</t>
  </si>
  <si>
    <t>市立明德高中</t>
  </si>
  <si>
    <t>市立秀峰高中</t>
  </si>
  <si>
    <t>市立金山高中</t>
  </si>
  <si>
    <t>市立安康高中</t>
  </si>
  <si>
    <t>市立雙溪高中</t>
  </si>
  <si>
    <t>市立石碇高中</t>
  </si>
  <si>
    <t>市立丹鳳高中</t>
  </si>
  <si>
    <t>市立清水高中</t>
  </si>
  <si>
    <t>市立三民高中</t>
  </si>
  <si>
    <t>市立錦和高中</t>
  </si>
  <si>
    <t>市立光復高中</t>
  </si>
  <si>
    <t>市立竹圍高中</t>
  </si>
  <si>
    <t>市立北大高級中學</t>
  </si>
  <si>
    <t>市立豐珠中學</t>
  </si>
  <si>
    <t>國立蘭陽女中</t>
  </si>
  <si>
    <t>國立宜蘭高中</t>
  </si>
  <si>
    <t>國立羅東高中</t>
  </si>
  <si>
    <t>私立慧燈高中</t>
  </si>
  <si>
    <t>私立中道高中</t>
  </si>
  <si>
    <t>縣立南澳高中</t>
  </si>
  <si>
    <t>縣立慈心華德福實中</t>
  </si>
  <si>
    <t>國立中央大學附屬中壢高中</t>
  </si>
  <si>
    <t>桃園市懷恩高中</t>
  </si>
  <si>
    <t>桃園市育達高中</t>
  </si>
  <si>
    <t>私立六和高中</t>
  </si>
  <si>
    <t>桃園市復旦高中</t>
  </si>
  <si>
    <t>桃園市治平高中</t>
  </si>
  <si>
    <t>桃園市振聲高中</t>
  </si>
  <si>
    <t>私立光啟高中</t>
  </si>
  <si>
    <t>桃園市啟英高中</t>
  </si>
  <si>
    <t>桃園市清華高中</t>
  </si>
  <si>
    <t>桃園市新興高中</t>
  </si>
  <si>
    <t>私立至善高中</t>
  </si>
  <si>
    <t>桃園市大興高中</t>
  </si>
  <si>
    <t>私立大華高中</t>
  </si>
  <si>
    <t>市立龍潭高中</t>
  </si>
  <si>
    <t>市立桃園高中</t>
  </si>
  <si>
    <t>市立武陵高中</t>
  </si>
  <si>
    <t>市立楊梅高中</t>
  </si>
  <si>
    <t>市立陽明高中</t>
  </si>
  <si>
    <t>市立內壢高中</t>
  </si>
  <si>
    <t>市立南崁高中</t>
  </si>
  <si>
    <t>市立大溪高中</t>
  </si>
  <si>
    <t>市立壽山高中</t>
  </si>
  <si>
    <t>市立平鎮高中</t>
  </si>
  <si>
    <t>市立觀音高中</t>
  </si>
  <si>
    <t>市立新屋高級中等學校</t>
  </si>
  <si>
    <t>市立永豐高中</t>
  </si>
  <si>
    <t>市立羅浮高中</t>
  </si>
  <si>
    <t>市立大園國際高中</t>
  </si>
  <si>
    <t>國立竹東高中</t>
  </si>
  <si>
    <t>國立關西高中</t>
  </si>
  <si>
    <t>國立竹北高中</t>
  </si>
  <si>
    <t>私立義民高中</t>
  </si>
  <si>
    <t>私立忠信高中</t>
  </si>
  <si>
    <t>私立東泰高中</t>
  </si>
  <si>
    <t>私立仰德高中</t>
  </si>
  <si>
    <t>縣立六家高級中學</t>
  </si>
  <si>
    <t>縣立湖口高中</t>
  </si>
  <si>
    <t>國立苗栗高中</t>
  </si>
  <si>
    <t>國立竹南高中</t>
  </si>
  <si>
    <t>國立卓蘭高中</t>
  </si>
  <si>
    <t>國立苑裡高中</t>
  </si>
  <si>
    <t>私立君毅高中</t>
  </si>
  <si>
    <t>私立大成高中</t>
  </si>
  <si>
    <t>私立建臺高中</t>
  </si>
  <si>
    <t>私立全人實驗高中</t>
  </si>
  <si>
    <t>縣立三義高中</t>
  </si>
  <si>
    <t>縣立苑裡高中</t>
  </si>
  <si>
    <t>縣立興華高中</t>
  </si>
  <si>
    <t>縣立大同高中</t>
  </si>
  <si>
    <t>國立興大附中</t>
  </si>
  <si>
    <t>國立中科實驗高級中學</t>
  </si>
  <si>
    <t>財團法人常春藤高中</t>
  </si>
  <si>
    <t>私立明台高中</t>
  </si>
  <si>
    <t>私立致用高中</t>
  </si>
  <si>
    <t>臺中市大明高中</t>
  </si>
  <si>
    <t>私立嘉陽高中</t>
  </si>
  <si>
    <t>私立明道高中</t>
  </si>
  <si>
    <t>私立僑泰高中</t>
  </si>
  <si>
    <t>私立華盛頓高中</t>
  </si>
  <si>
    <t>私立青年高中</t>
  </si>
  <si>
    <t>私立弘文高中</t>
  </si>
  <si>
    <t>私立立人高中</t>
  </si>
  <si>
    <t>私立玉山高中</t>
  </si>
  <si>
    <t>私立慈明高中</t>
  </si>
  <si>
    <t>華德福大地實驗學校</t>
  </si>
  <si>
    <t>市立大甲高中</t>
  </si>
  <si>
    <t>市立豐原高中</t>
  </si>
  <si>
    <t>市立后綜高中</t>
  </si>
  <si>
    <t>市立大里高中</t>
  </si>
  <si>
    <t>市立新社高中</t>
  </si>
  <si>
    <t>市立長億高中</t>
  </si>
  <si>
    <t>市立中港高中</t>
  </si>
  <si>
    <t>市立龍津高中</t>
  </si>
  <si>
    <t>國立彰化女中</t>
  </si>
  <si>
    <t>國立員林高中</t>
  </si>
  <si>
    <t>國立彰化高中</t>
  </si>
  <si>
    <t>國立鹿港高中</t>
  </si>
  <si>
    <t>國立溪湖高中</t>
  </si>
  <si>
    <t>私立精誠高中</t>
  </si>
  <si>
    <t>私立文興高中</t>
  </si>
  <si>
    <t>財團法人正德高中</t>
  </si>
  <si>
    <t>縣立彰化藝術高中</t>
  </si>
  <si>
    <t>縣立二林高中</t>
  </si>
  <si>
    <t>縣立和美高中</t>
  </si>
  <si>
    <t>縣立田中高中</t>
  </si>
  <si>
    <t>縣立成功高中</t>
  </si>
  <si>
    <t>國立南投高中</t>
  </si>
  <si>
    <t>國立中興高中</t>
  </si>
  <si>
    <t>國立竹山高中</t>
  </si>
  <si>
    <t>國立暨大附中</t>
  </si>
  <si>
    <t>私立五育高中</t>
  </si>
  <si>
    <t>私立三育高中</t>
  </si>
  <si>
    <t>私立弘明實驗高中</t>
  </si>
  <si>
    <t>私立普台高中</t>
  </si>
  <si>
    <t>縣立旭光高中</t>
  </si>
  <si>
    <t>國立斗六高中</t>
  </si>
  <si>
    <t>國立北港高中</t>
  </si>
  <si>
    <t>國立虎尾高中</t>
  </si>
  <si>
    <t>私立永年高中</t>
  </si>
  <si>
    <t>私立正心高中</t>
  </si>
  <si>
    <t>私立文生高中</t>
  </si>
  <si>
    <t>私立巨人高中</t>
  </si>
  <si>
    <t>私立揚子高中</t>
  </si>
  <si>
    <t>財團法人義峰高中</t>
  </si>
  <si>
    <t>福智高中</t>
  </si>
  <si>
    <t>雲林縣維多利亞實驗高中</t>
  </si>
  <si>
    <t>縣立斗南高中</t>
  </si>
  <si>
    <t>縣立麥寮高中</t>
  </si>
  <si>
    <t>縣立古坑華德福實驗高級中學</t>
  </si>
  <si>
    <t>縣立蔦松藝術高中</t>
  </si>
  <si>
    <t>國立東石高中</t>
  </si>
  <si>
    <t>國立新港藝術高中</t>
  </si>
  <si>
    <t>私立同濟高中</t>
  </si>
  <si>
    <t>私立協同高中</t>
  </si>
  <si>
    <t>縣立竹崎高中</t>
  </si>
  <si>
    <t>縣立永慶高中</t>
  </si>
  <si>
    <t>國立新豐高中</t>
  </si>
  <si>
    <t>國立臺南大學附中</t>
  </si>
  <si>
    <t>國立北門高中</t>
  </si>
  <si>
    <t>國立新營高中</t>
  </si>
  <si>
    <t>國立後壁高中</t>
  </si>
  <si>
    <t>國立善化高中</t>
  </si>
  <si>
    <t>國立新化高中</t>
  </si>
  <si>
    <t>國立南科國際實驗高中</t>
  </si>
  <si>
    <t>私立南光高中</t>
  </si>
  <si>
    <t>私立港明高中</t>
  </si>
  <si>
    <t>臺南市興國高中</t>
  </si>
  <si>
    <t>私立明達高中</t>
  </si>
  <si>
    <t>私立黎明高中</t>
  </si>
  <si>
    <t>私立新榮高中</t>
  </si>
  <si>
    <t>市立大灣高中</t>
  </si>
  <si>
    <t>市立永仁高中</t>
  </si>
  <si>
    <t>國立鳳山高中</t>
  </si>
  <si>
    <t>國立岡山高中</t>
  </si>
  <si>
    <t>國立旗美高中</t>
  </si>
  <si>
    <t>國立鳳新高中</t>
  </si>
  <si>
    <t>光禾華德福實驗學校</t>
  </si>
  <si>
    <t>財團法人新光高中</t>
  </si>
  <si>
    <t>財團法人普門中學</t>
  </si>
  <si>
    <t>私立正義高中</t>
  </si>
  <si>
    <t>私立義大國際高中</t>
  </si>
  <si>
    <t>市立文山高中</t>
  </si>
  <si>
    <t>市立林園高中</t>
  </si>
  <si>
    <t>市立仁武高中</t>
  </si>
  <si>
    <t>市立路竹高中</t>
  </si>
  <si>
    <t>市立六龜高中</t>
  </si>
  <si>
    <t>市立福誠高中</t>
  </si>
  <si>
    <t>國立屏東女中</t>
  </si>
  <si>
    <t>國立屏東高中</t>
  </si>
  <si>
    <t>國立潮州高中</t>
  </si>
  <si>
    <t>國立屏北高中</t>
  </si>
  <si>
    <t>屏東縣崇華高中</t>
  </si>
  <si>
    <t>財團法人屏榮高中</t>
  </si>
  <si>
    <t>私立陸興高中</t>
  </si>
  <si>
    <t>私立美和高中</t>
  </si>
  <si>
    <t>縣立枋寮高中</t>
  </si>
  <si>
    <t>縣立東港高中</t>
  </si>
  <si>
    <t>縣立來義高中</t>
  </si>
  <si>
    <t>國立臺東大學附屬體育高中</t>
  </si>
  <si>
    <t>國立臺東女中</t>
  </si>
  <si>
    <t>國立臺東高中</t>
  </si>
  <si>
    <t>臺東縣均一高中</t>
  </si>
  <si>
    <t>私立育仁高中</t>
  </si>
  <si>
    <t>縣立蘭嶼高中</t>
  </si>
  <si>
    <t>國立花蓮女中</t>
  </si>
  <si>
    <t>國立花蓮高中</t>
  </si>
  <si>
    <t>國立玉里高中</t>
  </si>
  <si>
    <t>私立海星高中</t>
  </si>
  <si>
    <t>私立四維高中</t>
  </si>
  <si>
    <t>財團法人慈濟大學附中</t>
  </si>
  <si>
    <t>花蓮縣立體育高中</t>
  </si>
  <si>
    <t>縣立南平中學</t>
  </si>
  <si>
    <t>國立馬公高中</t>
  </si>
  <si>
    <t>國立基隆女中</t>
  </si>
  <si>
    <t>國立基隆高中</t>
  </si>
  <si>
    <t>私立二信高中</t>
  </si>
  <si>
    <t>輔大聖心高中</t>
  </si>
  <si>
    <t>市立中山高中</t>
  </si>
  <si>
    <t>市立安樂高中</t>
  </si>
  <si>
    <t>市立暖暖高中</t>
  </si>
  <si>
    <t>市立八斗高中</t>
  </si>
  <si>
    <t>國立竹科實驗高級中等學校</t>
  </si>
  <si>
    <t>國立新竹女中</t>
  </si>
  <si>
    <t>國立新竹高中</t>
  </si>
  <si>
    <t>私立光復高中</t>
  </si>
  <si>
    <t>私立曙光女中</t>
  </si>
  <si>
    <t>私立磐石高中</t>
  </si>
  <si>
    <t>私立世界高中</t>
  </si>
  <si>
    <t>市立成德高中</t>
  </si>
  <si>
    <t>市立香山高中</t>
  </si>
  <si>
    <t>市立建功高中</t>
  </si>
  <si>
    <t>私立東大附中</t>
  </si>
  <si>
    <t>私立葳格高中</t>
  </si>
  <si>
    <t>私立新民高中</t>
  </si>
  <si>
    <t>私立宜寧高中</t>
  </si>
  <si>
    <t>私立明德高中</t>
  </si>
  <si>
    <t>私立衛道高中</t>
  </si>
  <si>
    <t>私立曉明女中</t>
  </si>
  <si>
    <t>私立嶺東高中</t>
  </si>
  <si>
    <t>私立磊川華德福實驗教育學校</t>
  </si>
  <si>
    <t>市立臺中女中</t>
  </si>
  <si>
    <t>市立臺中一中</t>
  </si>
  <si>
    <t>市立忠明高中</t>
  </si>
  <si>
    <t>市立西苑高中</t>
  </si>
  <si>
    <t>市立東山高中</t>
  </si>
  <si>
    <t>市立惠文高中</t>
  </si>
  <si>
    <t>市立臺中二中</t>
  </si>
  <si>
    <t>市立文華高中</t>
  </si>
  <si>
    <t>國立嘉義女中</t>
  </si>
  <si>
    <t>國立嘉義高中</t>
  </si>
  <si>
    <t>私立興華高中</t>
  </si>
  <si>
    <t>私立仁義高中</t>
  </si>
  <si>
    <t>私立嘉華高中</t>
  </si>
  <si>
    <t>私立輔仁高中</t>
  </si>
  <si>
    <t>私立宏仁女中</t>
  </si>
  <si>
    <t>私立立仁高中</t>
  </si>
  <si>
    <t>國立臺南二中</t>
  </si>
  <si>
    <t>國立臺南一中</t>
  </si>
  <si>
    <t>國立臺南女中</t>
  </si>
  <si>
    <t>國立家齊高中</t>
  </si>
  <si>
    <t>私立長榮高中</t>
  </si>
  <si>
    <t>私立長榮女中</t>
  </si>
  <si>
    <t>財團法人聖功女中</t>
  </si>
  <si>
    <t>臺南市光華高中</t>
  </si>
  <si>
    <t>私立六信高中</t>
  </si>
  <si>
    <t>私立瀛海高中</t>
  </si>
  <si>
    <t>臺南市崑山高中</t>
  </si>
  <si>
    <t>私立德光高中</t>
  </si>
  <si>
    <t>財團法人慈濟高中</t>
  </si>
  <si>
    <t>市立南寧高中</t>
  </si>
  <si>
    <t>市立土城高中</t>
  </si>
  <si>
    <t>市立西松高中</t>
  </si>
  <si>
    <t>市立中崙高中</t>
  </si>
  <si>
    <t>臺北市私立協和祐德高級中學</t>
  </si>
  <si>
    <t>市立松山高中</t>
  </si>
  <si>
    <t>市立永春高中</t>
  </si>
  <si>
    <t>國立師大附中</t>
  </si>
  <si>
    <t>私立延平中學</t>
  </si>
  <si>
    <t>私立金甌女中</t>
  </si>
  <si>
    <t>私立復興實驗高中</t>
  </si>
  <si>
    <t>市立和平高中</t>
  </si>
  <si>
    <t>市立芳和實中</t>
  </si>
  <si>
    <t>私立大同高中</t>
  </si>
  <si>
    <t>市立中山女中</t>
  </si>
  <si>
    <t>市立大同高中</t>
  </si>
  <si>
    <t>市立大直高中</t>
  </si>
  <si>
    <t>私立強恕中學</t>
  </si>
  <si>
    <t>市立建國中學</t>
  </si>
  <si>
    <t>市立成功中學</t>
  </si>
  <si>
    <t>市立北一女中</t>
  </si>
  <si>
    <t>臺北市靜修高中</t>
  </si>
  <si>
    <t>市立明倫高中</t>
  </si>
  <si>
    <t>市立成淵高中</t>
  </si>
  <si>
    <t>市立華江高中</t>
  </si>
  <si>
    <t>市立大理高中</t>
  </si>
  <si>
    <t>國立政大附中</t>
  </si>
  <si>
    <t>私立東山高中</t>
  </si>
  <si>
    <t>私立滬江高中</t>
  </si>
  <si>
    <t>私立大誠高中</t>
  </si>
  <si>
    <t>私立再興中學</t>
  </si>
  <si>
    <t>私立景文高中</t>
  </si>
  <si>
    <t>臺北市靜心高中</t>
  </si>
  <si>
    <t>市立景美女中</t>
  </si>
  <si>
    <t>市立萬芳高中</t>
  </si>
  <si>
    <t>市立數位實驗高中</t>
  </si>
  <si>
    <t>市立南港高中</t>
  </si>
  <si>
    <t>市立育成高中</t>
  </si>
  <si>
    <t>私立文德女中</t>
  </si>
  <si>
    <t>私立方濟中學</t>
  </si>
  <si>
    <t>私立達人女中</t>
  </si>
  <si>
    <t>市立內湖高中</t>
  </si>
  <si>
    <t>市立麗山高中</t>
  </si>
  <si>
    <t>市立南湖高中</t>
  </si>
  <si>
    <t>私立泰北高中</t>
  </si>
  <si>
    <t>私立衛理女中</t>
  </si>
  <si>
    <t>私立華興中學</t>
  </si>
  <si>
    <t>市立百齡高中</t>
  </si>
  <si>
    <t>私立薇閣高中</t>
  </si>
  <si>
    <t>臺北市幼華高中</t>
  </si>
  <si>
    <t>臺北市私立奎山實驗高級中學</t>
  </si>
  <si>
    <t>市立復興高中</t>
  </si>
  <si>
    <t>市立中正高中</t>
  </si>
  <si>
    <t>天主教明誠高中</t>
  </si>
  <si>
    <t>私立大榮高中</t>
  </si>
  <si>
    <t>市立鼓山高中</t>
  </si>
  <si>
    <t>市立左營高中</t>
  </si>
  <si>
    <t>國立中山大學附屬國光高中</t>
  </si>
  <si>
    <t>市立楠梓高中</t>
  </si>
  <si>
    <t>私立立志高中</t>
  </si>
  <si>
    <t>南海月光實驗學校</t>
  </si>
  <si>
    <t>市立高雄中學</t>
  </si>
  <si>
    <t>市立新興高中</t>
  </si>
  <si>
    <t>市立高雄女中</t>
  </si>
  <si>
    <t>國立高師大附中</t>
  </si>
  <si>
    <t>私立復華高中</t>
  </si>
  <si>
    <t>天主教道明中學</t>
  </si>
  <si>
    <t>市立前鎮高中</t>
  </si>
  <si>
    <t>市立瑞祥高中</t>
  </si>
  <si>
    <t>市立小港高中</t>
  </si>
  <si>
    <t>國立金門高中</t>
  </si>
  <si>
    <t>國立馬祖高中</t>
  </si>
  <si>
    <t>私立樹人家商</t>
  </si>
  <si>
    <t>私立復興商工</t>
  </si>
  <si>
    <t>私立南強工商</t>
  </si>
  <si>
    <t>私立穀保家商</t>
  </si>
  <si>
    <t>私立開明工商</t>
  </si>
  <si>
    <t>私立智光商工</t>
  </si>
  <si>
    <t>私立清傳高商</t>
  </si>
  <si>
    <t>私立能仁家商</t>
  </si>
  <si>
    <t>私立豫章工商</t>
  </si>
  <si>
    <t>私立莊敬工家</t>
  </si>
  <si>
    <t>私立中華商海</t>
  </si>
  <si>
    <t>市立瑞芳高工</t>
  </si>
  <si>
    <t>市立三重商工</t>
  </si>
  <si>
    <t>市立新北高工</t>
  </si>
  <si>
    <t>市立淡水商工</t>
  </si>
  <si>
    <t>市立鶯歌工商</t>
  </si>
  <si>
    <t>市立樟樹國際實中</t>
  </si>
  <si>
    <t>國立宜蘭高商</t>
  </si>
  <si>
    <t>國立羅東高商</t>
  </si>
  <si>
    <t>國立蘇澳海事</t>
  </si>
  <si>
    <t>國立羅東高工</t>
  </si>
  <si>
    <t>國立頭城家商</t>
  </si>
  <si>
    <t>國立北科大附屬桃園農工</t>
  </si>
  <si>
    <t>私立成功工商</t>
  </si>
  <si>
    <t>私立方曙商工</t>
  </si>
  <si>
    <t>私立永平工商</t>
  </si>
  <si>
    <t>市立中壢高商</t>
  </si>
  <si>
    <t>市立中壢家商</t>
  </si>
  <si>
    <t>私立內思高工</t>
  </si>
  <si>
    <t>國立大湖農工</t>
  </si>
  <si>
    <t>國立苗栗農工</t>
  </si>
  <si>
    <t>國立苗栗高商</t>
  </si>
  <si>
    <t>私立中興商工</t>
  </si>
  <si>
    <t>私立育民工家</t>
  </si>
  <si>
    <t>私立賢德工商</t>
  </si>
  <si>
    <t>私立龍德家商</t>
  </si>
  <si>
    <t>市立豐原高商</t>
  </si>
  <si>
    <t>市立大甲高工</t>
  </si>
  <si>
    <t>市立東勢高工</t>
  </si>
  <si>
    <t>市立沙鹿高工</t>
  </si>
  <si>
    <t>市立霧峰農工</t>
  </si>
  <si>
    <t>市立神岡高工</t>
  </si>
  <si>
    <t>國立彰師附工</t>
  </si>
  <si>
    <t>國立永靖高工</t>
  </si>
  <si>
    <t>國立二林工商</t>
  </si>
  <si>
    <t>國立秀水高工</t>
  </si>
  <si>
    <t>國立彰化高商</t>
  </si>
  <si>
    <t>國立員林農工</t>
  </si>
  <si>
    <t>國立員林崇實高工</t>
  </si>
  <si>
    <t>國立員林家商</t>
  </si>
  <si>
    <t>國立北斗家商</t>
  </si>
  <si>
    <t>私立大慶商工</t>
  </si>
  <si>
    <t>私立達德商工</t>
  </si>
  <si>
    <t>國立仁愛高農</t>
  </si>
  <si>
    <t>國立埔里高工</t>
  </si>
  <si>
    <t>國立南投高商</t>
  </si>
  <si>
    <t>國立草屯商工</t>
  </si>
  <si>
    <t>國立水里商工</t>
  </si>
  <si>
    <t>南投縣同德高中</t>
  </si>
  <si>
    <t>國立虎尾農工</t>
  </si>
  <si>
    <t>國立西螺農工</t>
  </si>
  <si>
    <t>國立斗六家商</t>
  </si>
  <si>
    <t>國立北港農工</t>
  </si>
  <si>
    <t>國立土庫商工</t>
  </si>
  <si>
    <t>私立大成商工</t>
  </si>
  <si>
    <t>私立大德工商</t>
  </si>
  <si>
    <t>國立民雄農工</t>
  </si>
  <si>
    <t>私立協志工商</t>
  </si>
  <si>
    <t>私立萬能工商</t>
  </si>
  <si>
    <t>國立新化高工</t>
  </si>
  <si>
    <t>國立白河商工</t>
  </si>
  <si>
    <t>國立北門農工</t>
  </si>
  <si>
    <t>國立曾文家商</t>
  </si>
  <si>
    <t>國立新營高工</t>
  </si>
  <si>
    <t>國立玉井工商</t>
  </si>
  <si>
    <t>國立臺南高工</t>
  </si>
  <si>
    <t>國立曾文農工</t>
  </si>
  <si>
    <t>私立陽明工商</t>
  </si>
  <si>
    <t>私立育德工家</t>
  </si>
  <si>
    <t>國立旗山農工</t>
  </si>
  <si>
    <t>國立岡山農工</t>
  </si>
  <si>
    <t>國立鳳山商工</t>
  </si>
  <si>
    <t>私立中山工商</t>
  </si>
  <si>
    <t>私立旗美商工</t>
  </si>
  <si>
    <t>私立高英工商</t>
  </si>
  <si>
    <t>私立華德工家</t>
  </si>
  <si>
    <t>私立高苑工商</t>
  </si>
  <si>
    <t>國立內埔農工</t>
  </si>
  <si>
    <t>國立屏東高工</t>
  </si>
  <si>
    <t>國立佳冬高農</t>
  </si>
  <si>
    <t>國立東港海事</t>
  </si>
  <si>
    <t>國立恆春工商</t>
  </si>
  <si>
    <t>私立民生家商</t>
  </si>
  <si>
    <t>私立日新工商</t>
  </si>
  <si>
    <t>國立關山工商</t>
  </si>
  <si>
    <t>國立臺東高商</t>
  </si>
  <si>
    <t>國立成功商水</t>
  </si>
  <si>
    <t>私立公東高工</t>
  </si>
  <si>
    <t>國立花蓮高農</t>
  </si>
  <si>
    <t>國立花蓮高工</t>
  </si>
  <si>
    <t>國立花蓮高商</t>
  </si>
  <si>
    <t>國立光復商工</t>
  </si>
  <si>
    <t>花蓮縣上騰工商</t>
  </si>
  <si>
    <t>國立澎湖海事水產</t>
  </si>
  <si>
    <t>國立海洋大學附屬基隆海事</t>
  </si>
  <si>
    <t>國立基隆商工</t>
  </si>
  <si>
    <t>私立光隆家商</t>
  </si>
  <si>
    <t>私立培德工家</t>
  </si>
  <si>
    <t>國立新竹高商</t>
  </si>
  <si>
    <t>國立新竹高工</t>
  </si>
  <si>
    <t>國立興大附農</t>
  </si>
  <si>
    <t>財團法人光華高工</t>
  </si>
  <si>
    <t>市立臺中家商</t>
  </si>
  <si>
    <t>市立臺中高工</t>
  </si>
  <si>
    <t>國立華南高商</t>
  </si>
  <si>
    <t>國立嘉義高工</t>
  </si>
  <si>
    <t>國立嘉義高商</t>
  </si>
  <si>
    <t>國立嘉義家職</t>
  </si>
  <si>
    <t>私立東吳工家</t>
  </si>
  <si>
    <t>國立臺南高商</t>
  </si>
  <si>
    <t>國立臺南海事</t>
  </si>
  <si>
    <t>私立南英商工</t>
  </si>
  <si>
    <t>私立亞洲餐旅</t>
  </si>
  <si>
    <t>私立慈幼工商</t>
  </si>
  <si>
    <t>臺北市育達高中</t>
  </si>
  <si>
    <t>市立松山家商</t>
  </si>
  <si>
    <t>市立松山工農</t>
  </si>
  <si>
    <t>私立東方工商</t>
  </si>
  <si>
    <t>私立喬治工商</t>
  </si>
  <si>
    <t>私立開平餐飲</t>
  </si>
  <si>
    <t>市立大安高工</t>
  </si>
  <si>
    <t>私立稻江護家</t>
  </si>
  <si>
    <t>臺北市開南高中</t>
  </si>
  <si>
    <t>私立稻江高商</t>
  </si>
  <si>
    <t>市立木柵高工</t>
  </si>
  <si>
    <t>市立南港高工</t>
  </si>
  <si>
    <t>市立內湖高工</t>
  </si>
  <si>
    <t>私立華岡藝校</t>
  </si>
  <si>
    <t>市立士林高商</t>
  </si>
  <si>
    <t>私立惇敍工商</t>
  </si>
  <si>
    <t>私立中華藝校</t>
  </si>
  <si>
    <t>市立海青工商</t>
  </si>
  <si>
    <t>市立三民家商</t>
  </si>
  <si>
    <t>私立樹德家商</t>
  </si>
  <si>
    <t>市立高雄高工</t>
  </si>
  <si>
    <t>市立高雄高商</t>
  </si>
  <si>
    <t>私立國際商工</t>
  </si>
  <si>
    <t>私立三信家商</t>
  </si>
  <si>
    <t>市立中正高工</t>
  </si>
  <si>
    <t>國立高餐大附屬餐旅中學</t>
  </si>
  <si>
    <t>國立金門農工</t>
  </si>
  <si>
    <t>私立南華高中進修學校</t>
  </si>
  <si>
    <t>私立志仁中學進修學校</t>
  </si>
  <si>
    <t>私立光華高商進修學校</t>
  </si>
  <si>
    <t>國立成功大學附設高工進修學校</t>
  </si>
  <si>
    <t>國立和美實驗學校</t>
  </si>
  <si>
    <t>市立楠梓特殊學校</t>
  </si>
  <si>
    <t>私立宏德高商進修學校</t>
  </si>
  <si>
    <t>國立二林工商進校分校</t>
  </si>
  <si>
    <t>私立樹德高中進修學校</t>
  </si>
  <si>
    <t>私立正德高中進修學校</t>
  </si>
  <si>
    <t>敦品中學</t>
  </si>
  <si>
    <t>誠正中學</t>
  </si>
  <si>
    <t>勵志中學</t>
  </si>
  <si>
    <t>明陽中學</t>
  </si>
  <si>
    <t>地區</t>
    <phoneticPr fontId="2" type="noConversion"/>
  </si>
  <si>
    <t>基隆市</t>
    <phoneticPr fontId="2" type="noConversion"/>
  </si>
  <si>
    <t>新北市</t>
    <phoneticPr fontId="2" type="noConversion"/>
  </si>
  <si>
    <t>桃園市</t>
    <phoneticPr fontId="2" type="noConversion"/>
  </si>
  <si>
    <t>新竹市</t>
    <phoneticPr fontId="2" type="noConversion"/>
  </si>
  <si>
    <t>新竹縣</t>
    <phoneticPr fontId="2" type="noConversion"/>
  </si>
  <si>
    <t>宜蘭縣</t>
    <phoneticPr fontId="2" type="noConversion"/>
  </si>
  <si>
    <t>苗栗縣</t>
    <phoneticPr fontId="2" type="noConversion"/>
  </si>
  <si>
    <t>彰化縣</t>
    <phoneticPr fontId="2" type="noConversion"/>
  </si>
  <si>
    <t>臺北市</t>
    <phoneticPr fontId="2" type="noConversion"/>
  </si>
  <si>
    <t>臺中市</t>
    <phoneticPr fontId="2" type="noConversion"/>
  </si>
  <si>
    <t>南投縣</t>
    <phoneticPr fontId="2" type="noConversion"/>
  </si>
  <si>
    <t>雲林縣</t>
    <phoneticPr fontId="2" type="noConversion"/>
  </si>
  <si>
    <t>嘉義縣</t>
    <phoneticPr fontId="2" type="noConversion"/>
  </si>
  <si>
    <t>嘉義市</t>
    <phoneticPr fontId="2" type="noConversion"/>
  </si>
  <si>
    <t>高雄市</t>
    <phoneticPr fontId="2" type="noConversion"/>
  </si>
  <si>
    <t>屏東縣</t>
    <phoneticPr fontId="2" type="noConversion"/>
  </si>
  <si>
    <t>澎湖縣</t>
    <phoneticPr fontId="2" type="noConversion"/>
  </si>
  <si>
    <t>花蓮縣</t>
    <phoneticPr fontId="2" type="noConversion"/>
  </si>
  <si>
    <t>金門縣</t>
    <phoneticPr fontId="2" type="noConversion"/>
  </si>
  <si>
    <t>連江縣</t>
    <phoneticPr fontId="2" type="noConversion"/>
  </si>
  <si>
    <t>北部</t>
  </si>
  <si>
    <t>北部</t>
    <phoneticPr fontId="2" type="noConversion"/>
  </si>
  <si>
    <t>中部</t>
  </si>
  <si>
    <t>中部</t>
    <phoneticPr fontId="2" type="noConversion"/>
  </si>
  <si>
    <t>南部</t>
  </si>
  <si>
    <t>南部</t>
    <phoneticPr fontId="2" type="noConversion"/>
  </si>
  <si>
    <t>東部</t>
  </si>
  <si>
    <t>東部</t>
    <phoneticPr fontId="2" type="noConversion"/>
  </si>
  <si>
    <t>離島</t>
  </si>
  <si>
    <t>離島</t>
    <phoneticPr fontId="2" type="noConversion"/>
  </si>
  <si>
    <t>學校代碼</t>
  </si>
  <si>
    <t>學生數</t>
  </si>
  <si>
    <t>351B09</t>
  </si>
  <si>
    <t>361B09</t>
  </si>
  <si>
    <t>011C71</t>
  </si>
  <si>
    <t>210C01</t>
  </si>
  <si>
    <t>070F01</t>
  </si>
  <si>
    <t>543F01</t>
  </si>
  <si>
    <t>031G91</t>
  </si>
  <si>
    <t>070G92</t>
  </si>
  <si>
    <t>111G91</t>
  </si>
  <si>
    <t>151G91</t>
  </si>
  <si>
    <t>03C301</t>
  </si>
  <si>
    <t>04C301</t>
  </si>
  <si>
    <t>07C301</t>
  </si>
  <si>
    <t>12C301</t>
  </si>
  <si>
    <t>私立中信高中</t>
  </si>
  <si>
    <t>桃園市路亞國際高中</t>
  </si>
  <si>
    <t>私立洛克威爾藝術實驗教育學校</t>
  </si>
  <si>
    <t>國立嘉科實驗高中</t>
  </si>
  <si>
    <t>國立屏科實驗高中</t>
  </si>
  <si>
    <t>私立宏仁高中</t>
  </si>
  <si>
    <t>私立協和祐德高中</t>
  </si>
  <si>
    <t>私立靜修高中</t>
  </si>
  <si>
    <t>私立靜心高中</t>
  </si>
  <si>
    <t>私立達人高中</t>
  </si>
  <si>
    <t>私立奎山實驗高級中學</t>
  </si>
  <si>
    <t>桃園市世紀綠能工商</t>
  </si>
  <si>
    <t>國立成大附屬南工</t>
  </si>
  <si>
    <t>私立育達高中</t>
  </si>
  <si>
    <r>
      <rPr>
        <sz val="9"/>
        <color indexed="8"/>
        <rFont val="新細明體"/>
        <family val="1"/>
        <charset val="136"/>
      </rPr>
      <t>學校名稱</t>
    </r>
  </si>
  <si>
    <t>偏遠</t>
  </si>
  <si>
    <t>極偏</t>
  </si>
  <si>
    <t>特偏</t>
  </si>
  <si>
    <r>
      <rPr>
        <sz val="9"/>
        <color indexed="8"/>
        <rFont val="微軟正黑體"/>
        <family val="2"/>
        <charset val="136"/>
      </rPr>
      <t>學校名稱</t>
    </r>
  </si>
  <si>
    <r>
      <rPr>
        <sz val="9"/>
        <color indexed="8"/>
        <rFont val="微軟正黑體"/>
        <family val="2"/>
        <charset val="136"/>
      </rPr>
      <t>市立金山高中</t>
    </r>
  </si>
  <si>
    <r>
      <rPr>
        <sz val="9"/>
        <color indexed="8"/>
        <rFont val="微軟正黑體"/>
        <family val="2"/>
        <charset val="136"/>
      </rPr>
      <t>偏遠</t>
    </r>
  </si>
  <si>
    <r>
      <rPr>
        <sz val="9"/>
        <color indexed="8"/>
        <rFont val="微軟正黑體"/>
        <family val="2"/>
        <charset val="136"/>
      </rPr>
      <t>市立雙溪高中</t>
    </r>
  </si>
  <si>
    <r>
      <rPr>
        <sz val="9"/>
        <color indexed="8"/>
        <rFont val="微軟正黑體"/>
        <family val="2"/>
        <charset val="136"/>
      </rPr>
      <t>市立石碇高中</t>
    </r>
  </si>
  <si>
    <r>
      <rPr>
        <sz val="9"/>
        <color indexed="8"/>
        <rFont val="微軟正黑體"/>
        <family val="2"/>
        <charset val="136"/>
      </rPr>
      <t>市立豐珠中學</t>
    </r>
  </si>
  <si>
    <r>
      <rPr>
        <sz val="9"/>
        <color indexed="8"/>
        <rFont val="微軟正黑體"/>
        <family val="2"/>
        <charset val="136"/>
      </rPr>
      <t>縣立南澳高中</t>
    </r>
  </si>
  <si>
    <r>
      <rPr>
        <sz val="9"/>
        <color indexed="8"/>
        <rFont val="微軟正黑體"/>
        <family val="2"/>
        <charset val="136"/>
      </rPr>
      <t>市立羅浮高中</t>
    </r>
  </si>
  <si>
    <r>
      <rPr>
        <sz val="9"/>
        <color indexed="8"/>
        <rFont val="微軟正黑體"/>
        <family val="2"/>
        <charset val="136"/>
      </rPr>
      <t>國立大湖農工</t>
    </r>
  </si>
  <si>
    <r>
      <rPr>
        <sz val="9"/>
        <color indexed="8"/>
        <rFont val="微軟正黑體"/>
        <family val="2"/>
        <charset val="136"/>
      </rPr>
      <t>國立仁愛高農</t>
    </r>
  </si>
  <si>
    <r>
      <rPr>
        <sz val="9"/>
        <color indexed="8"/>
        <rFont val="微軟正黑體"/>
        <family val="2"/>
        <charset val="136"/>
      </rPr>
      <t>極偏</t>
    </r>
  </si>
  <si>
    <r>
      <rPr>
        <sz val="9"/>
        <color indexed="8"/>
        <rFont val="微軟正黑體"/>
        <family val="2"/>
        <charset val="136"/>
      </rPr>
      <t>縣立麥寮高中</t>
    </r>
  </si>
  <si>
    <r>
      <rPr>
        <sz val="9"/>
        <color indexed="8"/>
        <rFont val="微軟正黑體"/>
        <family val="2"/>
        <charset val="136"/>
      </rPr>
      <t>縣立古坑華德福實驗高級中學</t>
    </r>
  </si>
  <si>
    <r>
      <rPr>
        <sz val="9"/>
        <color indexed="8"/>
        <rFont val="微軟正黑體"/>
        <family val="2"/>
        <charset val="136"/>
      </rPr>
      <t>特偏</t>
    </r>
  </si>
  <si>
    <r>
      <rPr>
        <sz val="9"/>
        <color indexed="8"/>
        <rFont val="微軟正黑體"/>
        <family val="2"/>
        <charset val="136"/>
      </rPr>
      <t>縣立蔦松藝術高中</t>
    </r>
  </si>
  <si>
    <r>
      <rPr>
        <sz val="9"/>
        <color indexed="8"/>
        <rFont val="微軟正黑體"/>
        <family val="2"/>
        <charset val="136"/>
      </rPr>
      <t>國立後壁高中</t>
    </r>
  </si>
  <si>
    <r>
      <rPr>
        <sz val="9"/>
        <color indexed="8"/>
        <rFont val="微軟正黑體"/>
        <family val="2"/>
        <charset val="136"/>
      </rPr>
      <t>市立六龜高中</t>
    </r>
  </si>
  <si>
    <r>
      <rPr>
        <sz val="9"/>
        <color indexed="8"/>
        <rFont val="微軟正黑體"/>
        <family val="2"/>
        <charset val="136"/>
      </rPr>
      <t>國立佳冬高農</t>
    </r>
  </si>
  <si>
    <r>
      <rPr>
        <sz val="9"/>
        <color indexed="8"/>
        <rFont val="微軟正黑體"/>
        <family val="2"/>
        <charset val="136"/>
      </rPr>
      <t>國立恆春工商</t>
    </r>
  </si>
  <si>
    <r>
      <rPr>
        <sz val="9"/>
        <color indexed="8"/>
        <rFont val="微軟正黑體"/>
        <family val="2"/>
        <charset val="136"/>
      </rPr>
      <t>縣立枋寮高中</t>
    </r>
  </si>
  <si>
    <r>
      <rPr>
        <sz val="9"/>
        <color indexed="8"/>
        <rFont val="微軟正黑體"/>
        <family val="2"/>
        <charset val="136"/>
      </rPr>
      <t>縣立來義高中</t>
    </r>
  </si>
  <si>
    <r>
      <rPr>
        <sz val="9"/>
        <color indexed="8"/>
        <rFont val="微軟正黑體"/>
        <family val="2"/>
        <charset val="136"/>
      </rPr>
      <t>國立關山工商</t>
    </r>
  </si>
  <si>
    <r>
      <rPr>
        <sz val="9"/>
        <color indexed="8"/>
        <rFont val="微軟正黑體"/>
        <family val="2"/>
        <charset val="136"/>
      </rPr>
      <t>國立成功商水</t>
    </r>
  </si>
  <si>
    <r>
      <rPr>
        <sz val="9"/>
        <color indexed="8"/>
        <rFont val="微軟正黑體"/>
        <family val="2"/>
        <charset val="136"/>
      </rPr>
      <t>縣立蘭嶼高中</t>
    </r>
  </si>
  <si>
    <r>
      <rPr>
        <sz val="9"/>
        <color indexed="8"/>
        <rFont val="微軟正黑體"/>
        <family val="2"/>
        <charset val="136"/>
      </rPr>
      <t>國立玉里高中</t>
    </r>
  </si>
  <si>
    <r>
      <rPr>
        <sz val="9"/>
        <color indexed="8"/>
        <rFont val="微軟正黑體"/>
        <family val="2"/>
        <charset val="136"/>
      </rPr>
      <t>國立光復商工</t>
    </r>
  </si>
  <si>
    <r>
      <rPr>
        <sz val="9"/>
        <color indexed="8"/>
        <rFont val="微軟正黑體"/>
        <family val="2"/>
        <charset val="136"/>
      </rPr>
      <t>縣立南平中學</t>
    </r>
  </si>
  <si>
    <r>
      <rPr>
        <sz val="9"/>
        <color indexed="8"/>
        <rFont val="微軟正黑體"/>
        <family val="2"/>
        <charset val="136"/>
      </rPr>
      <t>國立馬公高中</t>
    </r>
  </si>
  <si>
    <r>
      <rPr>
        <sz val="9"/>
        <color indexed="8"/>
        <rFont val="微軟正黑體"/>
        <family val="2"/>
        <charset val="136"/>
      </rPr>
      <t>國立澎湖海事水產</t>
    </r>
  </si>
  <si>
    <r>
      <rPr>
        <sz val="9"/>
        <color indexed="8"/>
        <rFont val="微軟正黑體"/>
        <family val="2"/>
        <charset val="136"/>
      </rPr>
      <t>國立金門高中</t>
    </r>
  </si>
  <si>
    <r>
      <rPr>
        <sz val="9"/>
        <color indexed="8"/>
        <rFont val="微軟正黑體"/>
        <family val="2"/>
        <charset val="136"/>
      </rPr>
      <t>國立金門農工</t>
    </r>
  </si>
  <si>
    <r>
      <rPr>
        <sz val="9"/>
        <color indexed="8"/>
        <rFont val="微軟正黑體"/>
        <family val="2"/>
        <charset val="136"/>
      </rPr>
      <t>國立馬祖高中</t>
    </r>
  </si>
  <si>
    <r>
      <rPr>
        <sz val="9"/>
        <color indexed="8"/>
        <rFont val="微軟正黑體"/>
        <family val="2"/>
        <charset val="136"/>
      </rPr>
      <t>地區</t>
    </r>
    <r>
      <rPr>
        <sz val="9"/>
        <color rgb="FF000000"/>
        <rFont val="Microsoft JhengHei"/>
        <family val="2"/>
      </rPr>
      <t>屬性</t>
    </r>
    <phoneticPr fontId="2" type="noConversion"/>
  </si>
  <si>
    <r>
      <rPr>
        <sz val="9"/>
        <color indexed="8"/>
        <rFont val="微軟正黑體"/>
        <family val="2"/>
        <charset val="136"/>
      </rPr>
      <t>學校</t>
    </r>
    <r>
      <rPr>
        <sz val="9"/>
        <color rgb="FF000000"/>
        <rFont val="Microsoft JhengHei"/>
        <family val="2"/>
      </rPr>
      <t>代碼</t>
    </r>
    <phoneticPr fontId="2" type="noConversion"/>
  </si>
  <si>
    <r>
      <rPr>
        <sz val="9"/>
        <color indexed="8"/>
        <rFont val="新細明體"/>
        <family val="1"/>
        <charset val="136"/>
      </rPr>
      <t>學校</t>
    </r>
    <r>
      <rPr>
        <sz val="9"/>
        <color rgb="FF000000"/>
        <rFont val="Microsoft JhengHei"/>
        <family val="2"/>
      </rPr>
      <t>代碼</t>
    </r>
    <phoneticPr fontId="2" type="noConversion"/>
  </si>
  <si>
    <r>
      <rPr>
        <sz val="9"/>
        <color indexed="8"/>
        <rFont val="新細明體"/>
        <family val="1"/>
        <charset val="136"/>
      </rPr>
      <t>地區</t>
    </r>
    <r>
      <rPr>
        <sz val="9"/>
        <color rgb="FF000000"/>
        <rFont val="Microsoft JhengHei"/>
        <family val="1"/>
      </rPr>
      <t>屬性</t>
    </r>
    <phoneticPr fontId="2" type="noConversion"/>
  </si>
  <si>
    <t>臺南市</t>
    <phoneticPr fontId="2" type="noConversion"/>
  </si>
  <si>
    <t>臺東縣</t>
    <phoneticPr fontId="2" type="noConversion"/>
  </si>
  <si>
    <t>全體中位數</t>
    <phoneticPr fontId="2" type="noConversion"/>
  </si>
  <si>
    <t>非偏遠</t>
  </si>
  <si>
    <t>明顯下降</t>
  </si>
  <si>
    <t>穩定或成長</t>
  </si>
  <si>
    <t>小幅下降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</si>
</sst>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1010404]#,##0;\ #,##0\-;\ \-"/>
    <numFmt numFmtId="182" formatCode="0.000_ "/>
  </numFmts>
  <fonts count="16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indexed="8"/>
      <name val="新細明體"/>
      <family val="1"/>
      <charset val="136"/>
    </font>
    <font>
      <sz val="6.95"/>
      <color indexed="8"/>
      <name val="新細明體"/>
      <family val="1"/>
      <charset val="136"/>
    </font>
    <font>
      <sz val="9"/>
      <color indexed="8"/>
      <name val="新細明體"/>
      <family val="1"/>
      <charset val="136"/>
    </font>
    <font>
      <sz val="6.95"/>
      <color indexed="8"/>
      <name val="Arial"/>
      <family val="2"/>
    </font>
    <font>
      <sz val="12"/>
      <color theme="1"/>
      <name val="Microsoft JhengHei"/>
      <family val="2"/>
    </font>
    <font>
      <sz val="9"/>
      <color indexed="8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sz val="9"/>
      <color indexed="8"/>
      <name val="微軟正黑體"/>
      <family val="2"/>
      <charset val="136"/>
    </font>
    <font>
      <sz val="9"/>
      <color rgb="FF000000"/>
      <name val="Microsoft JhengHei"/>
      <family val="2"/>
    </font>
    <font>
      <sz val="9"/>
      <color indexed="8"/>
      <name val="Arial"/>
      <family val="2"/>
      <charset val="136"/>
    </font>
    <font>
      <sz val="9"/>
      <color indexed="8"/>
      <name val="Arial"/>
      <family val="1"/>
      <charset val="136"/>
    </font>
    <font>
      <sz val="9"/>
      <color rgb="FF000000"/>
      <name val="Microsoft JhengHei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</fills>
  <borders count="10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4" fillId="0" borderId="0" xfId="0" applyFont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176" fontId="6" fillId="2" borderId="0" xfId="0" applyNumberFormat="1" applyFont="1" applyFill="1" applyAlignment="1">
      <alignment horizontal="right" vertical="center" wrapText="1"/>
    </xf>
    <xf numFmtId="0" fontId="7" fillId="0" borderId="0" xfId="0" applyFont="1">
      <alignment vertical="center"/>
    </xf>
    <xf numFmtId="0" fontId="3" fillId="0" borderId="1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176" fontId="6" fillId="2" borderId="5" xfId="0" applyNumberFormat="1" applyFont="1" applyFill="1" applyBorder="1" applyAlignment="1">
      <alignment horizontal="right" vertical="center" wrapText="1"/>
    </xf>
    <xf numFmtId="176" fontId="6" fillId="2" borderId="6" xfId="0" applyNumberFormat="1" applyFont="1" applyFill="1" applyBorder="1" applyAlignment="1">
      <alignment horizontal="right" vertical="center" wrapText="1"/>
    </xf>
    <xf numFmtId="0" fontId="6" fillId="0" borderId="0" xfId="0" quotePrefix="1" applyFont="1" applyAlignment="1">
      <alignment horizontal="left" vertical="center" wrapText="1"/>
    </xf>
    <xf numFmtId="176" fontId="6" fillId="2" borderId="7" xfId="0" applyNumberFormat="1" applyFont="1" applyFill="1" applyBorder="1" applyAlignment="1">
      <alignment horizontal="right" vertical="center" wrapText="1"/>
    </xf>
    <xf numFmtId="0" fontId="5" fillId="0" borderId="0" xfId="0" applyFont="1" applyAlignment="1">
      <alignment vertical="center" wrapText="1"/>
    </xf>
    <xf numFmtId="0" fontId="5" fillId="0" borderId="8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quotePrefix="1" applyFont="1" applyAlignment="1">
      <alignment vertical="center" wrapText="1"/>
    </xf>
    <xf numFmtId="49" fontId="8" fillId="0" borderId="0" xfId="0" quotePrefix="1" applyNumberFormat="1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wrapText="1"/>
    </xf>
    <xf numFmtId="0" fontId="13" fillId="3" borderId="9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quotePrefix="1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Border="1" applyAlignment="1">
      <alignment horizontal="center" wrapText="1"/>
    </xf>
    <xf numFmtId="9" fontId="0" fillId="0" borderId="0" xfId="0" applyNumberFormat="1">
      <alignment vertical="center"/>
    </xf>
    <xf numFmtId="182" fontId="0" fillId="0" borderId="0" xfId="0" applyNumberFormat="1" applyAlignment="1">
      <alignment horizontal="center"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C6BF5-6F74-4F93-8614-1AA05992C810}">
  <dimension ref="A1:K526"/>
  <sheetViews>
    <sheetView zoomScale="78" workbookViewId="0">
      <selection activeCell="H1" sqref="H1:H1048576"/>
    </sheetView>
  </sheetViews>
  <sheetFormatPr defaultRowHeight="16.149999999999999"/>
  <cols>
    <col min="1" max="1" width="8.73046875" style="42" customWidth="1"/>
    <col min="2" max="2" width="8.73046875" style="43" customWidth="1"/>
    <col min="3" max="3" width="24.73046875" style="42" customWidth="1"/>
    <col min="4" max="4" width="8.73046875" style="42" customWidth="1"/>
    <col min="5" max="5" width="15.53125" style="32" customWidth="1"/>
    <col min="6" max="7" width="9.265625" style="33" customWidth="1"/>
    <col min="8" max="8" width="10.73046875" style="35" customWidth="1"/>
    <col min="9" max="9" width="14.73046875" style="32" customWidth="1"/>
    <col min="10" max="10" width="14.86328125" style="32" customWidth="1"/>
    <col min="11" max="11" width="12.9296875" customWidth="1"/>
  </cols>
  <sheetData>
    <row r="1" spans="1:11">
      <c r="A1" s="4" t="s">
        <v>594</v>
      </c>
      <c r="B1" s="31" t="s">
        <v>16</v>
      </c>
      <c r="C1" s="4" t="s">
        <v>1</v>
      </c>
      <c r="D1" s="32" t="s">
        <v>3</v>
      </c>
      <c r="E1" s="32" t="s">
        <v>5</v>
      </c>
      <c r="F1" s="33" t="s">
        <v>7</v>
      </c>
      <c r="G1" s="34" t="s">
        <v>9</v>
      </c>
      <c r="H1" s="35" t="s">
        <v>11</v>
      </c>
      <c r="I1" s="32" t="s">
        <v>13</v>
      </c>
      <c r="J1" s="32" t="s">
        <v>15</v>
      </c>
      <c r="K1" s="32" t="s">
        <v>666</v>
      </c>
    </row>
    <row r="2" spans="1:11">
      <c r="A2" s="36">
        <v>400144</v>
      </c>
      <c r="B2" s="37" t="s">
        <v>572</v>
      </c>
      <c r="C2" s="37" t="s">
        <v>41</v>
      </c>
      <c r="D2" s="38" t="str">
        <f>VLOOKUP(B2, Mapping!$A:$B, 2, FALSE)</f>
        <v>北部</v>
      </c>
      <c r="E2" s="38" t="str">
        <f>IFERROR(VLOOKUP(A2, '113_Faraway'!$A:$C, 3,FALSE),"非偏遠")</f>
        <v>非偏遠</v>
      </c>
      <c r="F2" s="33">
        <f>VLOOKUP(A2, '111_Raw'!$B:$D,3,FALSE)</f>
        <v>372</v>
      </c>
      <c r="G2" s="33">
        <f>VLOOKUP(A2, '113_Raw'!$B:$D,3,FALSE)</f>
        <v>313</v>
      </c>
      <c r="H2" s="35">
        <f>ROUND((G2-F2)/F2,3)</f>
        <v>-0.159</v>
      </c>
      <c r="I2" s="38" t="str">
        <f>IF(H2&gt;=0,"穩定或成長",IF(H2&gt;-0.05,"小幅下降","明顯下降"))</f>
        <v>明顯下降</v>
      </c>
      <c r="J2" s="32" t="b">
        <f>IF(H2 &lt; $K$2, TRUE, FALSE)</f>
        <v>1</v>
      </c>
      <c r="K2" s="44">
        <f>MEDIAN(H:H)</f>
        <v>-1.4999999999999999E-2</v>
      </c>
    </row>
    <row r="3" spans="1:11">
      <c r="A3" s="36">
        <v>140222</v>
      </c>
      <c r="B3" s="37" t="s">
        <v>18</v>
      </c>
      <c r="C3" s="37" t="s">
        <v>42</v>
      </c>
      <c r="D3" s="38" t="str">
        <f>VLOOKUP(B3, Mapping!$A:$B, 2, FALSE)</f>
        <v>東部</v>
      </c>
      <c r="E3" s="38" t="str">
        <f>IFERROR(VLOOKUP(A3, '113_Faraway'!$A:$C, 3,FALSE),"非偏遠")</f>
        <v>非偏遠</v>
      </c>
      <c r="F3" s="33">
        <f>VLOOKUP(A3, '111_Raw'!$B:$D,3,FALSE)</f>
        <v>763</v>
      </c>
      <c r="G3" s="33">
        <f>VLOOKUP(A3, '113_Raw'!$B:$D,3,FALSE)</f>
        <v>722</v>
      </c>
      <c r="H3" s="35">
        <f t="shared" ref="H3:H66" si="0">ROUND((G3-F3)/F3,3)</f>
        <v>-5.3999999999999999E-2</v>
      </c>
      <c r="I3" s="38" t="str">
        <f t="shared" ref="I3:I64" si="1">IF(H3&gt;=0,"穩定或成長",IF(H3&gt;-0.05,"小幅下降","明顯下降"))</f>
        <v>明顯下降</v>
      </c>
      <c r="J3" s="32" t="b">
        <f t="shared" ref="J3:J66" si="2">IF(H3 &lt; $K$2, TRUE, FALSE)</f>
        <v>1</v>
      </c>
    </row>
    <row r="4" spans="1:11">
      <c r="A4" s="39">
        <v>10301</v>
      </c>
      <c r="B4" s="37" t="s">
        <v>19</v>
      </c>
      <c r="C4" s="37" t="s">
        <v>43</v>
      </c>
      <c r="D4" s="38" t="str">
        <f>VLOOKUP(B4, Mapping!$A:$B, 2, FALSE)</f>
        <v>北部</v>
      </c>
      <c r="E4" s="38" t="str">
        <f>IFERROR(VLOOKUP(A4, '113_Faraway'!$A:$C, 3,FALSE),"非偏遠")</f>
        <v>非偏遠</v>
      </c>
      <c r="F4" s="33">
        <f>VLOOKUP(A4, '111_Raw'!$B:$D,3,FALSE)</f>
        <v>1503</v>
      </c>
      <c r="G4" s="33">
        <f>VLOOKUP(A4, '113_Raw'!$B:$D,3,FALSE)</f>
        <v>1528</v>
      </c>
      <c r="H4" s="35">
        <f t="shared" si="0"/>
        <v>1.7000000000000001E-2</v>
      </c>
      <c r="I4" s="38" t="str">
        <f t="shared" si="1"/>
        <v>穩定或成長</v>
      </c>
      <c r="J4" s="32" t="b">
        <f t="shared" si="2"/>
        <v>0</v>
      </c>
    </row>
    <row r="5" spans="1:11">
      <c r="A5" s="39">
        <v>11301</v>
      </c>
      <c r="B5" s="37" t="s">
        <v>19</v>
      </c>
      <c r="C5" s="37" t="s">
        <v>44</v>
      </c>
      <c r="D5" s="38" t="str">
        <f>VLOOKUP(B5, Mapping!$A:$B, 2, FALSE)</f>
        <v>北部</v>
      </c>
      <c r="E5" s="38" t="str">
        <f>IFERROR(VLOOKUP(A5, '113_Faraway'!$A:$C, 3,FALSE),"非偏遠")</f>
        <v>非偏遠</v>
      </c>
      <c r="F5" s="33">
        <f>VLOOKUP(A5, '111_Raw'!$B:$D,3,FALSE)</f>
        <v>898</v>
      </c>
      <c r="G5" s="33">
        <f>VLOOKUP(A5, '113_Raw'!$B:$D,3,FALSE)</f>
        <v>998</v>
      </c>
      <c r="H5" s="35">
        <f t="shared" si="0"/>
        <v>0.111</v>
      </c>
      <c r="I5" s="38" t="str">
        <f t="shared" si="1"/>
        <v>穩定或成長</v>
      </c>
      <c r="J5" s="32" t="b">
        <f t="shared" si="2"/>
        <v>0</v>
      </c>
    </row>
    <row r="6" spans="1:11">
      <c r="A6" s="39">
        <v>11302</v>
      </c>
      <c r="B6" s="37" t="s">
        <v>19</v>
      </c>
      <c r="C6" s="37" t="s">
        <v>45</v>
      </c>
      <c r="D6" s="38" t="str">
        <f>VLOOKUP(B6, Mapping!$A:$B, 2, FALSE)</f>
        <v>北部</v>
      </c>
      <c r="E6" s="38" t="str">
        <f>IFERROR(VLOOKUP(A6, '113_Faraway'!$A:$C, 3,FALSE),"非偏遠")</f>
        <v>非偏遠</v>
      </c>
      <c r="F6" s="33">
        <f>VLOOKUP(A6, '111_Raw'!$B:$D,3,FALSE)</f>
        <v>885</v>
      </c>
      <c r="G6" s="33">
        <f>VLOOKUP(A6, '113_Raw'!$B:$D,3,FALSE)</f>
        <v>913</v>
      </c>
      <c r="H6" s="35">
        <f t="shared" si="0"/>
        <v>3.2000000000000001E-2</v>
      </c>
      <c r="I6" s="38" t="str">
        <f t="shared" si="1"/>
        <v>穩定或成長</v>
      </c>
      <c r="J6" s="32" t="b">
        <f t="shared" si="2"/>
        <v>0</v>
      </c>
    </row>
    <row r="7" spans="1:11">
      <c r="A7" s="39">
        <v>11306</v>
      </c>
      <c r="B7" s="37" t="s">
        <v>19</v>
      </c>
      <c r="C7" s="37" t="s">
        <v>46</v>
      </c>
      <c r="D7" s="38" t="str">
        <f>VLOOKUP(B7, Mapping!$A:$B, 2, FALSE)</f>
        <v>北部</v>
      </c>
      <c r="E7" s="38" t="str">
        <f>IFERROR(VLOOKUP(A7, '113_Faraway'!$A:$C, 3,FALSE),"非偏遠")</f>
        <v>非偏遠</v>
      </c>
      <c r="F7" s="33">
        <f>VLOOKUP(A7, '111_Raw'!$B:$D,3,FALSE)</f>
        <v>743</v>
      </c>
      <c r="G7" s="33">
        <f>VLOOKUP(A7, '113_Raw'!$B:$D,3,FALSE)</f>
        <v>665</v>
      </c>
      <c r="H7" s="35">
        <f t="shared" si="0"/>
        <v>-0.105</v>
      </c>
      <c r="I7" s="38" t="str">
        <f t="shared" si="1"/>
        <v>明顯下降</v>
      </c>
      <c r="J7" s="32" t="b">
        <f t="shared" si="2"/>
        <v>1</v>
      </c>
    </row>
    <row r="8" spans="1:11">
      <c r="A8" s="39">
        <v>11307</v>
      </c>
      <c r="B8" s="37" t="s">
        <v>19</v>
      </c>
      <c r="C8" s="37" t="s">
        <v>47</v>
      </c>
      <c r="D8" s="38" t="str">
        <f>VLOOKUP(B8, Mapping!$A:$B, 2, FALSE)</f>
        <v>北部</v>
      </c>
      <c r="E8" s="38" t="str">
        <f>IFERROR(VLOOKUP(A8, '113_Faraway'!$A:$C, 3,FALSE),"非偏遠")</f>
        <v>非偏遠</v>
      </c>
      <c r="F8" s="33">
        <f>VLOOKUP(A8, '111_Raw'!$B:$D,3,FALSE)</f>
        <v>173</v>
      </c>
      <c r="G8" s="33">
        <f>VLOOKUP(A8, '113_Raw'!$B:$D,3,FALSE)</f>
        <v>190</v>
      </c>
      <c r="H8" s="35">
        <f t="shared" si="0"/>
        <v>9.8000000000000004E-2</v>
      </c>
      <c r="I8" s="38" t="str">
        <f t="shared" si="1"/>
        <v>穩定或成長</v>
      </c>
      <c r="J8" s="32" t="b">
        <f t="shared" si="2"/>
        <v>0</v>
      </c>
    </row>
    <row r="9" spans="1:11">
      <c r="A9" s="39">
        <v>11309</v>
      </c>
      <c r="B9" s="37" t="s">
        <v>19</v>
      </c>
      <c r="C9" s="37" t="s">
        <v>48</v>
      </c>
      <c r="D9" s="38" t="str">
        <f>VLOOKUP(B9, Mapping!$A:$B, 2, FALSE)</f>
        <v>北部</v>
      </c>
      <c r="E9" s="38" t="str">
        <f>IFERROR(VLOOKUP(A9, '113_Faraway'!$A:$C, 3,FALSE),"非偏遠")</f>
        <v>非偏遠</v>
      </c>
      <c r="F9" s="33">
        <f>VLOOKUP(A9, '111_Raw'!$B:$D,3,FALSE)</f>
        <v>1620</v>
      </c>
      <c r="G9" s="33">
        <f>VLOOKUP(A9, '113_Raw'!$B:$D,3,FALSE)</f>
        <v>1584</v>
      </c>
      <c r="H9" s="35">
        <f t="shared" si="0"/>
        <v>-2.1999999999999999E-2</v>
      </c>
      <c r="I9" s="38" t="str">
        <f t="shared" si="1"/>
        <v>小幅下降</v>
      </c>
      <c r="J9" s="32" t="b">
        <f t="shared" si="2"/>
        <v>1</v>
      </c>
    </row>
    <row r="10" spans="1:11">
      <c r="A10" s="39">
        <v>11310</v>
      </c>
      <c r="B10" s="37" t="s">
        <v>19</v>
      </c>
      <c r="C10" s="37" t="s">
        <v>49</v>
      </c>
      <c r="D10" s="38" t="str">
        <f>VLOOKUP(B10, Mapping!$A:$B, 2, FALSE)</f>
        <v>北部</v>
      </c>
      <c r="E10" s="38" t="str">
        <f>IFERROR(VLOOKUP(A10, '113_Faraway'!$A:$C, 3,FALSE),"非偏遠")</f>
        <v>非偏遠</v>
      </c>
      <c r="F10" s="33">
        <f>VLOOKUP(A10, '111_Raw'!$B:$D,3,FALSE)</f>
        <v>867</v>
      </c>
      <c r="G10" s="33">
        <f>VLOOKUP(A10, '113_Raw'!$B:$D,3,FALSE)</f>
        <v>927</v>
      </c>
      <c r="H10" s="35">
        <f t="shared" si="0"/>
        <v>6.9000000000000006E-2</v>
      </c>
      <c r="I10" s="38" t="str">
        <f t="shared" si="1"/>
        <v>穩定或成長</v>
      </c>
      <c r="J10" s="32" t="b">
        <f t="shared" si="2"/>
        <v>0</v>
      </c>
    </row>
    <row r="11" spans="1:11">
      <c r="A11" s="39">
        <v>11311</v>
      </c>
      <c r="B11" s="37" t="s">
        <v>19</v>
      </c>
      <c r="C11" s="37" t="s">
        <v>50</v>
      </c>
      <c r="D11" s="38" t="str">
        <f>VLOOKUP(B11, Mapping!$A:$B, 2, FALSE)</f>
        <v>北部</v>
      </c>
      <c r="E11" s="38" t="str">
        <f>IFERROR(VLOOKUP(A11, '113_Faraway'!$A:$C, 3,FALSE),"非偏遠")</f>
        <v>非偏遠</v>
      </c>
      <c r="F11" s="33">
        <f>VLOOKUP(A11, '111_Raw'!$B:$D,3,FALSE)</f>
        <v>370</v>
      </c>
      <c r="G11" s="33">
        <f>VLOOKUP(A11, '113_Raw'!$B:$D,3,FALSE)</f>
        <v>362</v>
      </c>
      <c r="H11" s="35">
        <f t="shared" si="0"/>
        <v>-2.1999999999999999E-2</v>
      </c>
      <c r="I11" s="38" t="str">
        <f t="shared" si="1"/>
        <v>小幅下降</v>
      </c>
      <c r="J11" s="32" t="b">
        <f t="shared" si="2"/>
        <v>1</v>
      </c>
    </row>
    <row r="12" spans="1:11">
      <c r="A12" s="39">
        <v>11312</v>
      </c>
      <c r="B12" s="37" t="s">
        <v>19</v>
      </c>
      <c r="C12" s="37" t="s">
        <v>51</v>
      </c>
      <c r="D12" s="38" t="str">
        <f>VLOOKUP(B12, Mapping!$A:$B, 2, FALSE)</f>
        <v>北部</v>
      </c>
      <c r="E12" s="38" t="str">
        <f>IFERROR(VLOOKUP(A12, '113_Faraway'!$A:$C, 3,FALSE),"非偏遠")</f>
        <v>非偏遠</v>
      </c>
      <c r="F12" s="33">
        <f>VLOOKUP(A12, '111_Raw'!$B:$D,3,FALSE)</f>
        <v>141</v>
      </c>
      <c r="G12" s="33">
        <f>VLOOKUP(A12, '113_Raw'!$B:$D,3,FALSE)</f>
        <v>128</v>
      </c>
      <c r="H12" s="35">
        <f t="shared" si="0"/>
        <v>-9.1999999999999998E-2</v>
      </c>
      <c r="I12" s="38" t="str">
        <f t="shared" si="1"/>
        <v>明顯下降</v>
      </c>
      <c r="J12" s="32" t="b">
        <f t="shared" si="2"/>
        <v>1</v>
      </c>
    </row>
    <row r="13" spans="1:11">
      <c r="A13" s="39">
        <v>11315</v>
      </c>
      <c r="B13" s="37" t="s">
        <v>19</v>
      </c>
      <c r="C13" s="37" t="s">
        <v>53</v>
      </c>
      <c r="D13" s="38" t="str">
        <f>VLOOKUP(B13, Mapping!$A:$B, 2, FALSE)</f>
        <v>北部</v>
      </c>
      <c r="E13" s="38" t="str">
        <f>IFERROR(VLOOKUP(A13, '113_Faraway'!$A:$C, 3,FALSE),"非偏遠")</f>
        <v>非偏遠</v>
      </c>
      <c r="F13" s="33">
        <f>VLOOKUP(A13, '111_Raw'!$B:$D,3,FALSE)</f>
        <v>552</v>
      </c>
      <c r="G13" s="33">
        <f>VLOOKUP(A13, '113_Raw'!$B:$D,3,FALSE)</f>
        <v>589</v>
      </c>
      <c r="H13" s="35">
        <f t="shared" si="0"/>
        <v>6.7000000000000004E-2</v>
      </c>
      <c r="I13" s="38" t="str">
        <f t="shared" si="1"/>
        <v>穩定或成長</v>
      </c>
      <c r="J13" s="32" t="b">
        <f t="shared" si="2"/>
        <v>0</v>
      </c>
    </row>
    <row r="14" spans="1:11">
      <c r="A14" s="39">
        <v>11316</v>
      </c>
      <c r="B14" s="37" t="s">
        <v>19</v>
      </c>
      <c r="C14" s="37" t="s">
        <v>54</v>
      </c>
      <c r="D14" s="38" t="str">
        <f>VLOOKUP(B14, Mapping!$A:$B, 2, FALSE)</f>
        <v>北部</v>
      </c>
      <c r="E14" s="38" t="str">
        <f>IFERROR(VLOOKUP(A14, '113_Faraway'!$A:$C, 3,FALSE),"非偏遠")</f>
        <v>非偏遠</v>
      </c>
      <c r="F14" s="33">
        <f>VLOOKUP(A14, '111_Raw'!$B:$D,3,FALSE)</f>
        <v>636</v>
      </c>
      <c r="G14" s="33">
        <f>VLOOKUP(A14, '113_Raw'!$B:$D,3,FALSE)</f>
        <v>470</v>
      </c>
      <c r="H14" s="35">
        <f t="shared" si="0"/>
        <v>-0.26100000000000001</v>
      </c>
      <c r="I14" s="38" t="str">
        <f t="shared" si="1"/>
        <v>明顯下降</v>
      </c>
      <c r="J14" s="32" t="b">
        <f t="shared" si="2"/>
        <v>1</v>
      </c>
    </row>
    <row r="15" spans="1:11">
      <c r="A15" s="39">
        <v>11317</v>
      </c>
      <c r="B15" s="37" t="s">
        <v>19</v>
      </c>
      <c r="C15" s="37" t="s">
        <v>55</v>
      </c>
      <c r="D15" s="38" t="str">
        <f>VLOOKUP(B15, Mapping!$A:$B, 2, FALSE)</f>
        <v>北部</v>
      </c>
      <c r="E15" s="38" t="str">
        <f>IFERROR(VLOOKUP(A15, '113_Faraway'!$A:$C, 3,FALSE),"非偏遠")</f>
        <v>非偏遠</v>
      </c>
      <c r="F15" s="33">
        <f>VLOOKUP(A15, '111_Raw'!$B:$D,3,FALSE)</f>
        <v>575</v>
      </c>
      <c r="G15" s="33">
        <f>VLOOKUP(A15, '113_Raw'!$B:$D,3,FALSE)</f>
        <v>799</v>
      </c>
      <c r="H15" s="35">
        <f t="shared" si="0"/>
        <v>0.39</v>
      </c>
      <c r="I15" s="38" t="str">
        <f t="shared" si="1"/>
        <v>穩定或成長</v>
      </c>
      <c r="J15" s="32" t="b">
        <f t="shared" si="2"/>
        <v>0</v>
      </c>
    </row>
    <row r="16" spans="1:11">
      <c r="A16" s="39">
        <v>11318</v>
      </c>
      <c r="B16" s="37" t="s">
        <v>19</v>
      </c>
      <c r="C16" s="37" t="s">
        <v>56</v>
      </c>
      <c r="D16" s="38" t="str">
        <f>VLOOKUP(B16, Mapping!$A:$B, 2, FALSE)</f>
        <v>北部</v>
      </c>
      <c r="E16" s="38" t="str">
        <f>IFERROR(VLOOKUP(A16, '113_Faraway'!$A:$C, 3,FALSE),"非偏遠")</f>
        <v>非偏遠</v>
      </c>
      <c r="F16" s="33">
        <f>VLOOKUP(A16, '111_Raw'!$B:$D,3,FALSE)</f>
        <v>230</v>
      </c>
      <c r="G16" s="33">
        <f>VLOOKUP(A16, '113_Raw'!$B:$D,3,FALSE)</f>
        <v>233</v>
      </c>
      <c r="H16" s="35">
        <f t="shared" si="0"/>
        <v>1.2999999999999999E-2</v>
      </c>
      <c r="I16" s="38" t="str">
        <f t="shared" si="1"/>
        <v>穩定或成長</v>
      </c>
      <c r="J16" s="32" t="b">
        <f t="shared" si="2"/>
        <v>0</v>
      </c>
    </row>
    <row r="17" spans="1:10">
      <c r="A17" s="39">
        <v>11322</v>
      </c>
      <c r="B17" s="37" t="s">
        <v>19</v>
      </c>
      <c r="C17" s="37" t="s">
        <v>57</v>
      </c>
      <c r="D17" s="38" t="str">
        <f>VLOOKUP(B17, Mapping!$A:$B, 2, FALSE)</f>
        <v>北部</v>
      </c>
      <c r="E17" s="38" t="str">
        <f>IFERROR(VLOOKUP(A17, '113_Faraway'!$A:$C, 3,FALSE),"非偏遠")</f>
        <v>非偏遠</v>
      </c>
      <c r="F17" s="33">
        <f>VLOOKUP(A17, '111_Raw'!$B:$D,3,FALSE)</f>
        <v>482</v>
      </c>
      <c r="G17" s="33">
        <f>VLOOKUP(A17, '113_Raw'!$B:$D,3,FALSE)</f>
        <v>511</v>
      </c>
      <c r="H17" s="35">
        <f t="shared" si="0"/>
        <v>0.06</v>
      </c>
      <c r="I17" s="38" t="str">
        <f t="shared" si="1"/>
        <v>穩定或成長</v>
      </c>
      <c r="J17" s="32" t="b">
        <f t="shared" si="2"/>
        <v>0</v>
      </c>
    </row>
    <row r="18" spans="1:10">
      <c r="A18" s="39">
        <v>11323</v>
      </c>
      <c r="B18" s="37" t="s">
        <v>19</v>
      </c>
      <c r="C18" s="37" t="s">
        <v>58</v>
      </c>
      <c r="D18" s="38" t="str">
        <f>VLOOKUP(B18, Mapping!$A:$B, 2, FALSE)</f>
        <v>北部</v>
      </c>
      <c r="E18" s="38" t="str">
        <f>IFERROR(VLOOKUP(A18, '113_Faraway'!$A:$C, 3,FALSE),"非偏遠")</f>
        <v>非偏遠</v>
      </c>
      <c r="F18" s="33">
        <f>VLOOKUP(A18, '111_Raw'!$B:$D,3,FALSE)</f>
        <v>722</v>
      </c>
      <c r="G18" s="33">
        <f>VLOOKUP(A18, '113_Raw'!$B:$D,3,FALSE)</f>
        <v>719</v>
      </c>
      <c r="H18" s="35">
        <f t="shared" si="0"/>
        <v>-4.0000000000000001E-3</v>
      </c>
      <c r="I18" s="38" t="str">
        <f t="shared" si="1"/>
        <v>小幅下降</v>
      </c>
      <c r="J18" s="32" t="b">
        <f t="shared" si="2"/>
        <v>0</v>
      </c>
    </row>
    <row r="19" spans="1:10">
      <c r="A19" s="39">
        <v>11324</v>
      </c>
      <c r="B19" s="37" t="s">
        <v>19</v>
      </c>
      <c r="C19" s="37" t="s">
        <v>59</v>
      </c>
      <c r="D19" s="38" t="str">
        <f>VLOOKUP(B19, Mapping!$A:$B, 2, FALSE)</f>
        <v>北部</v>
      </c>
      <c r="E19" s="38" t="str">
        <f>IFERROR(VLOOKUP(A19, '113_Faraway'!$A:$C, 3,FALSE),"非偏遠")</f>
        <v>非偏遠</v>
      </c>
      <c r="F19" s="33">
        <f>VLOOKUP(A19, '111_Raw'!$B:$D,3,FALSE)</f>
        <v>1033</v>
      </c>
      <c r="G19" s="33">
        <f>VLOOKUP(A19, '113_Raw'!$B:$D,3,FALSE)</f>
        <v>1030</v>
      </c>
      <c r="H19" s="35">
        <f t="shared" si="0"/>
        <v>-3.0000000000000001E-3</v>
      </c>
      <c r="I19" s="38" t="str">
        <f t="shared" si="1"/>
        <v>小幅下降</v>
      </c>
      <c r="J19" s="32" t="b">
        <f t="shared" si="2"/>
        <v>0</v>
      </c>
    </row>
    <row r="20" spans="1:10">
      <c r="A20" s="39">
        <v>11325</v>
      </c>
      <c r="B20" s="37" t="s">
        <v>19</v>
      </c>
      <c r="C20" s="37" t="s">
        <v>610</v>
      </c>
      <c r="D20" s="38" t="str">
        <f>VLOOKUP(B20, Mapping!$A:$B, 2, FALSE)</f>
        <v>北部</v>
      </c>
      <c r="E20" s="38" t="str">
        <f>IFERROR(VLOOKUP(A20, '113_Faraway'!$A:$C, 3,FALSE),"非偏遠")</f>
        <v>非偏遠</v>
      </c>
      <c r="F20" s="33">
        <f>VLOOKUP(A20, '111_Raw'!$B:$D,3,FALSE)</f>
        <v>128</v>
      </c>
      <c r="G20" s="33">
        <f>VLOOKUP(A20, '113_Raw'!$B:$D,3,FALSE)</f>
        <v>176</v>
      </c>
      <c r="H20" s="35">
        <f t="shared" si="0"/>
        <v>0.375</v>
      </c>
      <c r="I20" s="38" t="str">
        <f t="shared" si="1"/>
        <v>穩定或成長</v>
      </c>
      <c r="J20" s="32" t="b">
        <f t="shared" si="2"/>
        <v>0</v>
      </c>
    </row>
    <row r="21" spans="1:10">
      <c r="A21" s="39">
        <v>11329</v>
      </c>
      <c r="B21" s="37" t="s">
        <v>19</v>
      </c>
      <c r="C21" s="37" t="s">
        <v>61</v>
      </c>
      <c r="D21" s="38" t="str">
        <f>VLOOKUP(B21, Mapping!$A:$B, 2, FALSE)</f>
        <v>北部</v>
      </c>
      <c r="E21" s="38" t="str">
        <f>IFERROR(VLOOKUP(A21, '113_Faraway'!$A:$C, 3,FALSE),"非偏遠")</f>
        <v>非偏遠</v>
      </c>
      <c r="F21" s="33">
        <f>VLOOKUP(A21, '111_Raw'!$B:$D,3,FALSE)</f>
        <v>472</v>
      </c>
      <c r="G21" s="33">
        <f>VLOOKUP(A21, '113_Raw'!$B:$D,3,FALSE)</f>
        <v>473</v>
      </c>
      <c r="H21" s="35">
        <f t="shared" si="0"/>
        <v>2E-3</v>
      </c>
      <c r="I21" s="38" t="str">
        <f t="shared" si="1"/>
        <v>穩定或成長</v>
      </c>
      <c r="J21" s="32" t="b">
        <f t="shared" si="2"/>
        <v>0</v>
      </c>
    </row>
    <row r="22" spans="1:10">
      <c r="A22" s="39">
        <v>11330</v>
      </c>
      <c r="B22" s="37" t="s">
        <v>19</v>
      </c>
      <c r="C22" s="37" t="s">
        <v>62</v>
      </c>
      <c r="D22" s="38" t="str">
        <f>VLOOKUP(B22, Mapping!$A:$B, 2, FALSE)</f>
        <v>北部</v>
      </c>
      <c r="E22" s="38" t="str">
        <f>IFERROR(VLOOKUP(A22, '113_Faraway'!$A:$C, 3,FALSE),"非偏遠")</f>
        <v>非偏遠</v>
      </c>
      <c r="F22" s="33">
        <f>VLOOKUP(A22, '111_Raw'!$B:$D,3,FALSE)</f>
        <v>537</v>
      </c>
      <c r="G22" s="33">
        <f>VLOOKUP(A22, '113_Raw'!$B:$D,3,FALSE)</f>
        <v>611</v>
      </c>
      <c r="H22" s="35">
        <f t="shared" si="0"/>
        <v>0.13800000000000001</v>
      </c>
      <c r="I22" s="38" t="str">
        <f t="shared" si="1"/>
        <v>穩定或成長</v>
      </c>
      <c r="J22" s="32" t="b">
        <f t="shared" si="2"/>
        <v>0</v>
      </c>
    </row>
    <row r="23" spans="1:10">
      <c r="A23" s="39">
        <v>11399</v>
      </c>
      <c r="B23" s="37" t="s">
        <v>19</v>
      </c>
      <c r="C23" s="37" t="s">
        <v>63</v>
      </c>
      <c r="D23" s="38" t="str">
        <f>VLOOKUP(B23, Mapping!$A:$B, 2, FALSE)</f>
        <v>北部</v>
      </c>
      <c r="E23" s="38" t="str">
        <f>IFERROR(VLOOKUP(A23, '113_Faraway'!$A:$C, 3,FALSE),"非偏遠")</f>
        <v>非偏遠</v>
      </c>
      <c r="F23" s="33">
        <f>VLOOKUP(A23, '111_Raw'!$B:$D,3,FALSE)</f>
        <v>614</v>
      </c>
      <c r="G23" s="33">
        <f>VLOOKUP(A23, '113_Raw'!$B:$D,3,FALSE)</f>
        <v>545</v>
      </c>
      <c r="H23" s="35">
        <f t="shared" si="0"/>
        <v>-0.112</v>
      </c>
      <c r="I23" s="38" t="str">
        <f t="shared" si="1"/>
        <v>明顯下降</v>
      </c>
      <c r="J23" s="32" t="b">
        <f t="shared" si="2"/>
        <v>1</v>
      </c>
    </row>
    <row r="24" spans="1:10">
      <c r="A24" s="39">
        <v>13303</v>
      </c>
      <c r="B24" s="37" t="s">
        <v>19</v>
      </c>
      <c r="C24" s="37" t="s">
        <v>64</v>
      </c>
      <c r="D24" s="38" t="str">
        <f>VLOOKUP(B24, Mapping!$A:$B, 2, FALSE)</f>
        <v>北部</v>
      </c>
      <c r="E24" s="38" t="str">
        <f>IFERROR(VLOOKUP(A24, '113_Faraway'!$A:$C, 3,FALSE),"非偏遠")</f>
        <v>非偏遠</v>
      </c>
      <c r="F24" s="33">
        <f>VLOOKUP(A24, '111_Raw'!$B:$D,3,FALSE)</f>
        <v>2118</v>
      </c>
      <c r="G24" s="33">
        <f>VLOOKUP(A24, '113_Raw'!$B:$D,3,FALSE)</f>
        <v>2078</v>
      </c>
      <c r="H24" s="35">
        <f t="shared" si="0"/>
        <v>-1.9E-2</v>
      </c>
      <c r="I24" s="38" t="str">
        <f t="shared" si="1"/>
        <v>小幅下降</v>
      </c>
      <c r="J24" s="32" t="b">
        <f t="shared" si="2"/>
        <v>1</v>
      </c>
    </row>
    <row r="25" spans="1:10">
      <c r="A25" s="39">
        <v>13304</v>
      </c>
      <c r="B25" s="37" t="s">
        <v>19</v>
      </c>
      <c r="C25" s="37" t="s">
        <v>65</v>
      </c>
      <c r="D25" s="38" t="str">
        <f>VLOOKUP(B25, Mapping!$A:$B, 2, FALSE)</f>
        <v>北部</v>
      </c>
      <c r="E25" s="38" t="str">
        <f>IFERROR(VLOOKUP(A25, '113_Faraway'!$A:$C, 3,FALSE),"非偏遠")</f>
        <v>非偏遠</v>
      </c>
      <c r="F25" s="33">
        <f>VLOOKUP(A25, '111_Raw'!$B:$D,3,FALSE)</f>
        <v>2182</v>
      </c>
      <c r="G25" s="33">
        <f>VLOOKUP(A25, '113_Raw'!$B:$D,3,FALSE)</f>
        <v>2176</v>
      </c>
      <c r="H25" s="35">
        <f t="shared" si="0"/>
        <v>-3.0000000000000001E-3</v>
      </c>
      <c r="I25" s="38" t="str">
        <f t="shared" si="1"/>
        <v>小幅下降</v>
      </c>
      <c r="J25" s="32" t="b">
        <f t="shared" si="2"/>
        <v>0</v>
      </c>
    </row>
    <row r="26" spans="1:10">
      <c r="A26" s="39">
        <v>13335</v>
      </c>
      <c r="B26" s="37" t="s">
        <v>19</v>
      </c>
      <c r="C26" s="37" t="s">
        <v>66</v>
      </c>
      <c r="D26" s="38" t="str">
        <f>VLOOKUP(B26, Mapping!$A:$B, 2, FALSE)</f>
        <v>北部</v>
      </c>
      <c r="E26" s="38" t="str">
        <f>IFERROR(VLOOKUP(A26, '113_Faraway'!$A:$C, 3,FALSE),"非偏遠")</f>
        <v>非偏遠</v>
      </c>
      <c r="F26" s="33">
        <f>VLOOKUP(A26, '111_Raw'!$B:$D,3,FALSE)</f>
        <v>1770</v>
      </c>
      <c r="G26" s="33">
        <f>VLOOKUP(A26, '113_Raw'!$B:$D,3,FALSE)</f>
        <v>1803</v>
      </c>
      <c r="H26" s="35">
        <f t="shared" si="0"/>
        <v>1.9E-2</v>
      </c>
      <c r="I26" s="38" t="str">
        <f t="shared" si="1"/>
        <v>穩定或成長</v>
      </c>
      <c r="J26" s="32" t="b">
        <f t="shared" si="2"/>
        <v>0</v>
      </c>
    </row>
    <row r="27" spans="1:10">
      <c r="A27" s="39">
        <v>13336</v>
      </c>
      <c r="B27" s="37" t="s">
        <v>19</v>
      </c>
      <c r="C27" s="37" t="s">
        <v>67</v>
      </c>
      <c r="D27" s="38" t="str">
        <f>VLOOKUP(B27, Mapping!$A:$B, 2, FALSE)</f>
        <v>北部</v>
      </c>
      <c r="E27" s="38" t="str">
        <f>IFERROR(VLOOKUP(A27, '113_Faraway'!$A:$C, 3,FALSE),"非偏遠")</f>
        <v>非偏遠</v>
      </c>
      <c r="F27" s="33">
        <f>VLOOKUP(A27, '111_Raw'!$B:$D,3,FALSE)</f>
        <v>1893</v>
      </c>
      <c r="G27" s="33">
        <f>VLOOKUP(A27, '113_Raw'!$B:$D,3,FALSE)</f>
        <v>1906</v>
      </c>
      <c r="H27" s="35">
        <f t="shared" si="0"/>
        <v>7.0000000000000001E-3</v>
      </c>
      <c r="I27" s="38" t="str">
        <f t="shared" si="1"/>
        <v>穩定或成長</v>
      </c>
      <c r="J27" s="32" t="b">
        <f t="shared" si="2"/>
        <v>0</v>
      </c>
    </row>
    <row r="28" spans="1:10">
      <c r="A28" s="39">
        <v>13337</v>
      </c>
      <c r="B28" s="37" t="s">
        <v>19</v>
      </c>
      <c r="C28" s="37" t="s">
        <v>68</v>
      </c>
      <c r="D28" s="38" t="str">
        <f>VLOOKUP(B28, Mapping!$A:$B, 2, FALSE)</f>
        <v>北部</v>
      </c>
      <c r="E28" s="38" t="str">
        <f>IFERROR(VLOOKUP(A28, '113_Faraway'!$A:$C, 3,FALSE),"非偏遠")</f>
        <v>非偏遠</v>
      </c>
      <c r="F28" s="33">
        <f>VLOOKUP(A28, '111_Raw'!$B:$D,3,FALSE)</f>
        <v>2020</v>
      </c>
      <c r="G28" s="33">
        <f>VLOOKUP(A28, '113_Raw'!$B:$D,3,FALSE)</f>
        <v>2030</v>
      </c>
      <c r="H28" s="35">
        <f t="shared" si="0"/>
        <v>5.0000000000000001E-3</v>
      </c>
      <c r="I28" s="38" t="str">
        <f t="shared" si="1"/>
        <v>穩定或成長</v>
      </c>
      <c r="J28" s="32" t="b">
        <f t="shared" si="2"/>
        <v>0</v>
      </c>
    </row>
    <row r="29" spans="1:10">
      <c r="A29" s="39">
        <v>13338</v>
      </c>
      <c r="B29" s="37" t="s">
        <v>19</v>
      </c>
      <c r="C29" s="37" t="s">
        <v>69</v>
      </c>
      <c r="D29" s="38" t="str">
        <f>VLOOKUP(B29, Mapping!$A:$B, 2, FALSE)</f>
        <v>北部</v>
      </c>
      <c r="E29" s="38" t="str">
        <f>IFERROR(VLOOKUP(A29, '113_Faraway'!$A:$C, 3,FALSE),"非偏遠")</f>
        <v>非偏遠</v>
      </c>
      <c r="F29" s="33">
        <f>VLOOKUP(A29, '111_Raw'!$B:$D,3,FALSE)</f>
        <v>1789</v>
      </c>
      <c r="G29" s="33">
        <f>VLOOKUP(A29, '113_Raw'!$B:$D,3,FALSE)</f>
        <v>1760</v>
      </c>
      <c r="H29" s="35">
        <f t="shared" si="0"/>
        <v>-1.6E-2</v>
      </c>
      <c r="I29" s="38" t="str">
        <f t="shared" si="1"/>
        <v>小幅下降</v>
      </c>
      <c r="J29" s="32" t="b">
        <f t="shared" si="2"/>
        <v>1</v>
      </c>
    </row>
    <row r="30" spans="1:10">
      <c r="A30" s="39">
        <v>13339</v>
      </c>
      <c r="B30" s="37" t="s">
        <v>19</v>
      </c>
      <c r="C30" s="37" t="s">
        <v>70</v>
      </c>
      <c r="D30" s="38" t="str">
        <f>VLOOKUP(B30, Mapping!$A:$B, 2, FALSE)</f>
        <v>北部</v>
      </c>
      <c r="E30" s="38" t="str">
        <f>IFERROR(VLOOKUP(A30, '113_Faraway'!$A:$C, 3,FALSE),"非偏遠")</f>
        <v>非偏遠</v>
      </c>
      <c r="F30" s="33">
        <f>VLOOKUP(A30, '111_Raw'!$B:$D,3,FALSE)</f>
        <v>1549</v>
      </c>
      <c r="G30" s="33">
        <f>VLOOKUP(A30, '113_Raw'!$B:$D,3,FALSE)</f>
        <v>1555</v>
      </c>
      <c r="H30" s="35">
        <f t="shared" si="0"/>
        <v>4.0000000000000001E-3</v>
      </c>
      <c r="I30" s="38" t="str">
        <f t="shared" si="1"/>
        <v>穩定或成長</v>
      </c>
      <c r="J30" s="32" t="b">
        <f t="shared" si="2"/>
        <v>0</v>
      </c>
    </row>
    <row r="31" spans="1:10">
      <c r="A31" s="39">
        <v>14302</v>
      </c>
      <c r="B31" s="37" t="s">
        <v>19</v>
      </c>
      <c r="C31" s="37" t="s">
        <v>71</v>
      </c>
      <c r="D31" s="38" t="str">
        <f>VLOOKUP(B31, Mapping!$A:$B, 2, FALSE)</f>
        <v>北部</v>
      </c>
      <c r="E31" s="38" t="str">
        <f>IFERROR(VLOOKUP(A31, '113_Faraway'!$A:$C, 3,FALSE),"非偏遠")</f>
        <v>非偏遠</v>
      </c>
      <c r="F31" s="33">
        <f>VLOOKUP(A31, '111_Raw'!$B:$D,3,FALSE)</f>
        <v>1163</v>
      </c>
      <c r="G31" s="33">
        <f>VLOOKUP(A31, '113_Raw'!$B:$D,3,FALSE)</f>
        <v>1158</v>
      </c>
      <c r="H31" s="35">
        <f t="shared" si="0"/>
        <v>-4.0000000000000001E-3</v>
      </c>
      <c r="I31" s="38" t="str">
        <f t="shared" si="1"/>
        <v>小幅下降</v>
      </c>
      <c r="J31" s="32" t="b">
        <f t="shared" si="2"/>
        <v>0</v>
      </c>
    </row>
    <row r="32" spans="1:10">
      <c r="A32" s="39">
        <v>14311</v>
      </c>
      <c r="B32" s="37" t="s">
        <v>19</v>
      </c>
      <c r="C32" s="37" t="s">
        <v>72</v>
      </c>
      <c r="D32" s="38" t="str">
        <f>VLOOKUP(B32, Mapping!$A:$B, 2, FALSE)</f>
        <v>北部</v>
      </c>
      <c r="E32" s="38" t="str">
        <f>IFERROR(VLOOKUP(A32, '113_Faraway'!$A:$C, 3,FALSE),"非偏遠")</f>
        <v>非偏遠</v>
      </c>
      <c r="F32" s="33">
        <f>VLOOKUP(A32, '111_Raw'!$B:$D,3,FALSE)</f>
        <v>1348</v>
      </c>
      <c r="G32" s="33">
        <f>VLOOKUP(A32, '113_Raw'!$B:$D,3,FALSE)</f>
        <v>1339</v>
      </c>
      <c r="H32" s="35">
        <f t="shared" si="0"/>
        <v>-7.0000000000000001E-3</v>
      </c>
      <c r="I32" s="38" t="str">
        <f t="shared" si="1"/>
        <v>小幅下降</v>
      </c>
      <c r="J32" s="32" t="b">
        <f t="shared" si="2"/>
        <v>0</v>
      </c>
    </row>
    <row r="33" spans="1:10">
      <c r="A33" s="39">
        <v>14315</v>
      </c>
      <c r="B33" s="37" t="s">
        <v>19</v>
      </c>
      <c r="C33" s="37" t="s">
        <v>73</v>
      </c>
      <c r="D33" s="38" t="str">
        <f>VLOOKUP(B33, Mapping!$A:$B, 2, FALSE)</f>
        <v>北部</v>
      </c>
      <c r="E33" s="38" t="str">
        <f>IFERROR(VLOOKUP(A33, '113_Faraway'!$A:$C, 3,FALSE),"非偏遠")</f>
        <v>非偏遠</v>
      </c>
      <c r="F33" s="33">
        <f>VLOOKUP(A33, '111_Raw'!$B:$D,3,FALSE)</f>
        <v>1180</v>
      </c>
      <c r="G33" s="33">
        <f>VLOOKUP(A33, '113_Raw'!$B:$D,3,FALSE)</f>
        <v>1199</v>
      </c>
      <c r="H33" s="35">
        <f t="shared" si="0"/>
        <v>1.6E-2</v>
      </c>
      <c r="I33" s="38" t="str">
        <f t="shared" si="1"/>
        <v>穩定或成長</v>
      </c>
      <c r="J33" s="32" t="b">
        <f t="shared" si="2"/>
        <v>0</v>
      </c>
    </row>
    <row r="34" spans="1:10">
      <c r="A34" s="39">
        <v>14322</v>
      </c>
      <c r="B34" s="37" t="s">
        <v>19</v>
      </c>
      <c r="C34" s="37" t="s">
        <v>74</v>
      </c>
      <c r="D34" s="38" t="str">
        <f>VLOOKUP(B34, Mapping!$A:$B, 2, FALSE)</f>
        <v>北部</v>
      </c>
      <c r="E34" s="38" t="str">
        <f>IFERROR(VLOOKUP(A34, '113_Faraway'!$A:$C, 3,FALSE),"非偏遠")</f>
        <v>非偏遠</v>
      </c>
      <c r="F34" s="33">
        <f>VLOOKUP(A34, '111_Raw'!$B:$D,3,FALSE)</f>
        <v>1392</v>
      </c>
      <c r="G34" s="33">
        <f>VLOOKUP(A34, '113_Raw'!$B:$D,3,FALSE)</f>
        <v>1463</v>
      </c>
      <c r="H34" s="35">
        <f t="shared" si="0"/>
        <v>5.0999999999999997E-2</v>
      </c>
      <c r="I34" s="38" t="str">
        <f t="shared" si="1"/>
        <v>穩定或成長</v>
      </c>
      <c r="J34" s="32" t="b">
        <f t="shared" si="2"/>
        <v>0</v>
      </c>
    </row>
    <row r="35" spans="1:10">
      <c r="A35" s="39">
        <v>14326</v>
      </c>
      <c r="B35" s="37" t="s">
        <v>19</v>
      </c>
      <c r="C35" s="37" t="s">
        <v>75</v>
      </c>
      <c r="D35" s="38" t="str">
        <f>VLOOKUP(B35, Mapping!$A:$B, 2, FALSE)</f>
        <v>北部</v>
      </c>
      <c r="E35" s="38" t="str">
        <f>IFERROR(VLOOKUP(A35, '113_Faraway'!$A:$C, 3,FALSE),"非偏遠")</f>
        <v>非偏遠</v>
      </c>
      <c r="F35" s="33">
        <f>VLOOKUP(A35, '111_Raw'!$B:$D,3,FALSE)</f>
        <v>1137</v>
      </c>
      <c r="G35" s="33">
        <f>VLOOKUP(A35, '113_Raw'!$B:$D,3,FALSE)</f>
        <v>1168</v>
      </c>
      <c r="H35" s="35">
        <f t="shared" si="0"/>
        <v>2.7E-2</v>
      </c>
      <c r="I35" s="38" t="str">
        <f t="shared" si="1"/>
        <v>穩定或成長</v>
      </c>
      <c r="J35" s="32" t="b">
        <f t="shared" si="2"/>
        <v>0</v>
      </c>
    </row>
    <row r="36" spans="1:10">
      <c r="A36" s="39">
        <v>14332</v>
      </c>
      <c r="B36" s="37" t="s">
        <v>19</v>
      </c>
      <c r="C36" s="37" t="s">
        <v>76</v>
      </c>
      <c r="D36" s="38" t="str">
        <f>VLOOKUP(B36, Mapping!$A:$B, 2, FALSE)</f>
        <v>北部</v>
      </c>
      <c r="E36" s="38" t="str">
        <f>IFERROR(VLOOKUP(A36, '113_Faraway'!$A:$C, 3,FALSE),"非偏遠")</f>
        <v>非偏遠</v>
      </c>
      <c r="F36" s="33">
        <f>VLOOKUP(A36, '111_Raw'!$B:$D,3,FALSE)</f>
        <v>911</v>
      </c>
      <c r="G36" s="33">
        <f>VLOOKUP(A36, '113_Raw'!$B:$D,3,FALSE)</f>
        <v>928</v>
      </c>
      <c r="H36" s="35">
        <f t="shared" si="0"/>
        <v>1.9E-2</v>
      </c>
      <c r="I36" s="38" t="str">
        <f t="shared" si="1"/>
        <v>穩定或成長</v>
      </c>
      <c r="J36" s="32" t="b">
        <f t="shared" si="2"/>
        <v>0</v>
      </c>
    </row>
    <row r="37" spans="1:10">
      <c r="A37" s="39">
        <v>14338</v>
      </c>
      <c r="B37" s="37" t="s">
        <v>19</v>
      </c>
      <c r="C37" s="37" t="s">
        <v>77</v>
      </c>
      <c r="D37" s="38" t="str">
        <f>VLOOKUP(B37, Mapping!$A:$B, 2, FALSE)</f>
        <v>北部</v>
      </c>
      <c r="E37" s="38" t="str">
        <f>IFERROR(VLOOKUP(A37, '113_Faraway'!$A:$C, 3,FALSE),"非偏遠")</f>
        <v>偏遠</v>
      </c>
      <c r="F37" s="33">
        <f>VLOOKUP(A37, '111_Raw'!$B:$D,3,FALSE)</f>
        <v>348</v>
      </c>
      <c r="G37" s="33">
        <f>VLOOKUP(A37, '113_Raw'!$B:$D,3,FALSE)</f>
        <v>283</v>
      </c>
      <c r="H37" s="35">
        <f t="shared" si="0"/>
        <v>-0.187</v>
      </c>
      <c r="I37" s="38" t="str">
        <f t="shared" si="1"/>
        <v>明顯下降</v>
      </c>
      <c r="J37" s="32" t="b">
        <f t="shared" si="2"/>
        <v>1</v>
      </c>
    </row>
    <row r="38" spans="1:10">
      <c r="A38" s="39">
        <v>14343</v>
      </c>
      <c r="B38" s="37" t="s">
        <v>19</v>
      </c>
      <c r="C38" s="37" t="s">
        <v>78</v>
      </c>
      <c r="D38" s="38" t="str">
        <f>VLOOKUP(B38, Mapping!$A:$B, 2, FALSE)</f>
        <v>北部</v>
      </c>
      <c r="E38" s="38" t="str">
        <f>IFERROR(VLOOKUP(A38, '113_Faraway'!$A:$C, 3,FALSE),"非偏遠")</f>
        <v>非偏遠</v>
      </c>
      <c r="F38" s="33">
        <f>VLOOKUP(A38, '111_Raw'!$B:$D,3,FALSE)</f>
        <v>1016</v>
      </c>
      <c r="G38" s="33">
        <f>VLOOKUP(A38, '113_Raw'!$B:$D,3,FALSE)</f>
        <v>990</v>
      </c>
      <c r="H38" s="35">
        <f t="shared" si="0"/>
        <v>-2.5999999999999999E-2</v>
      </c>
      <c r="I38" s="38" t="str">
        <f t="shared" si="1"/>
        <v>小幅下降</v>
      </c>
      <c r="J38" s="32" t="b">
        <f t="shared" si="2"/>
        <v>1</v>
      </c>
    </row>
    <row r="39" spans="1:10">
      <c r="A39" s="39">
        <v>14347</v>
      </c>
      <c r="B39" s="37" t="s">
        <v>19</v>
      </c>
      <c r="C39" s="37" t="s">
        <v>79</v>
      </c>
      <c r="D39" s="38" t="str">
        <f>VLOOKUP(B39, Mapping!$A:$B, 2, FALSE)</f>
        <v>北部</v>
      </c>
      <c r="E39" s="38" t="str">
        <f>IFERROR(VLOOKUP(A39, '113_Faraway'!$A:$C, 3,FALSE),"非偏遠")</f>
        <v>偏遠</v>
      </c>
      <c r="F39" s="33">
        <f>VLOOKUP(A39, '111_Raw'!$B:$D,3,FALSE)</f>
        <v>226</v>
      </c>
      <c r="G39" s="33">
        <f>VLOOKUP(A39, '113_Raw'!$B:$D,3,FALSE)</f>
        <v>210</v>
      </c>
      <c r="H39" s="35">
        <f t="shared" si="0"/>
        <v>-7.0999999999999994E-2</v>
      </c>
      <c r="I39" s="38" t="str">
        <f t="shared" si="1"/>
        <v>明顯下降</v>
      </c>
      <c r="J39" s="32" t="b">
        <f t="shared" si="2"/>
        <v>1</v>
      </c>
    </row>
    <row r="40" spans="1:10">
      <c r="A40" s="39">
        <v>14348</v>
      </c>
      <c r="B40" s="37" t="s">
        <v>19</v>
      </c>
      <c r="C40" s="37" t="s">
        <v>80</v>
      </c>
      <c r="D40" s="38" t="str">
        <f>VLOOKUP(B40, Mapping!$A:$B, 2, FALSE)</f>
        <v>北部</v>
      </c>
      <c r="E40" s="38" t="str">
        <f>IFERROR(VLOOKUP(A40, '113_Faraway'!$A:$C, 3,FALSE),"非偏遠")</f>
        <v>偏遠</v>
      </c>
      <c r="F40" s="33">
        <f>VLOOKUP(A40, '111_Raw'!$B:$D,3,FALSE)</f>
        <v>477</v>
      </c>
      <c r="G40" s="33">
        <f>VLOOKUP(A40, '113_Raw'!$B:$D,3,FALSE)</f>
        <v>457</v>
      </c>
      <c r="H40" s="35">
        <f t="shared" si="0"/>
        <v>-4.2000000000000003E-2</v>
      </c>
      <c r="I40" s="38" t="str">
        <f t="shared" si="1"/>
        <v>小幅下降</v>
      </c>
      <c r="J40" s="32" t="b">
        <f t="shared" si="2"/>
        <v>1</v>
      </c>
    </row>
    <row r="41" spans="1:10">
      <c r="A41" s="39">
        <v>14353</v>
      </c>
      <c r="B41" s="37" t="s">
        <v>19</v>
      </c>
      <c r="C41" s="37" t="s">
        <v>81</v>
      </c>
      <c r="D41" s="38" t="str">
        <f>VLOOKUP(B41, Mapping!$A:$B, 2, FALSE)</f>
        <v>北部</v>
      </c>
      <c r="E41" s="38" t="str">
        <f>IFERROR(VLOOKUP(A41, '113_Faraway'!$A:$C, 3,FALSE),"非偏遠")</f>
        <v>非偏遠</v>
      </c>
      <c r="F41" s="33">
        <f>VLOOKUP(A41, '111_Raw'!$B:$D,3,FALSE)</f>
        <v>1024</v>
      </c>
      <c r="G41" s="33">
        <f>VLOOKUP(A41, '113_Raw'!$B:$D,3,FALSE)</f>
        <v>1015</v>
      </c>
      <c r="H41" s="35">
        <f t="shared" si="0"/>
        <v>-8.9999999999999993E-3</v>
      </c>
      <c r="I41" s="38" t="str">
        <f t="shared" si="1"/>
        <v>小幅下降</v>
      </c>
      <c r="J41" s="32" t="b">
        <f t="shared" si="2"/>
        <v>0</v>
      </c>
    </row>
    <row r="42" spans="1:10">
      <c r="A42" s="39">
        <v>14356</v>
      </c>
      <c r="B42" s="37" t="s">
        <v>19</v>
      </c>
      <c r="C42" s="37" t="s">
        <v>82</v>
      </c>
      <c r="D42" s="38" t="str">
        <f>VLOOKUP(B42, Mapping!$A:$B, 2, FALSE)</f>
        <v>北部</v>
      </c>
      <c r="E42" s="38" t="str">
        <f>IFERROR(VLOOKUP(A42, '113_Faraway'!$A:$C, 3,FALSE),"非偏遠")</f>
        <v>非偏遠</v>
      </c>
      <c r="F42" s="33">
        <f>VLOOKUP(A42, '111_Raw'!$B:$D,3,FALSE)</f>
        <v>1358</v>
      </c>
      <c r="G42" s="33">
        <f>VLOOKUP(A42, '113_Raw'!$B:$D,3,FALSE)</f>
        <v>1332</v>
      </c>
      <c r="H42" s="35">
        <f t="shared" si="0"/>
        <v>-1.9E-2</v>
      </c>
      <c r="I42" s="38" t="str">
        <f t="shared" si="1"/>
        <v>小幅下降</v>
      </c>
      <c r="J42" s="32" t="b">
        <f t="shared" si="2"/>
        <v>1</v>
      </c>
    </row>
    <row r="43" spans="1:10">
      <c r="A43" s="39">
        <v>14357</v>
      </c>
      <c r="B43" s="37" t="s">
        <v>19</v>
      </c>
      <c r="C43" s="37" t="s">
        <v>83</v>
      </c>
      <c r="D43" s="38" t="str">
        <f>VLOOKUP(B43, Mapping!$A:$B, 2, FALSE)</f>
        <v>北部</v>
      </c>
      <c r="E43" s="38" t="str">
        <f>IFERROR(VLOOKUP(A43, '113_Faraway'!$A:$C, 3,FALSE),"非偏遠")</f>
        <v>非偏遠</v>
      </c>
      <c r="F43" s="33">
        <f>VLOOKUP(A43, '111_Raw'!$B:$D,3,FALSE)</f>
        <v>1446</v>
      </c>
      <c r="G43" s="33">
        <f>VLOOKUP(A43, '113_Raw'!$B:$D,3,FALSE)</f>
        <v>1440</v>
      </c>
      <c r="H43" s="35">
        <f t="shared" si="0"/>
        <v>-4.0000000000000001E-3</v>
      </c>
      <c r="I43" s="38" t="str">
        <f t="shared" si="1"/>
        <v>小幅下降</v>
      </c>
      <c r="J43" s="32" t="b">
        <f t="shared" si="2"/>
        <v>0</v>
      </c>
    </row>
    <row r="44" spans="1:10">
      <c r="A44" s="39">
        <v>14362</v>
      </c>
      <c r="B44" s="37" t="s">
        <v>19</v>
      </c>
      <c r="C44" s="37" t="s">
        <v>84</v>
      </c>
      <c r="D44" s="38" t="str">
        <f>VLOOKUP(B44, Mapping!$A:$B, 2, FALSE)</f>
        <v>北部</v>
      </c>
      <c r="E44" s="38" t="str">
        <f>IFERROR(VLOOKUP(A44, '113_Faraway'!$A:$C, 3,FALSE),"非偏遠")</f>
        <v>非偏遠</v>
      </c>
      <c r="F44" s="33">
        <f>VLOOKUP(A44, '111_Raw'!$B:$D,3,FALSE)</f>
        <v>1060</v>
      </c>
      <c r="G44" s="33">
        <f>VLOOKUP(A44, '113_Raw'!$B:$D,3,FALSE)</f>
        <v>1032</v>
      </c>
      <c r="H44" s="35">
        <f t="shared" si="0"/>
        <v>-2.5999999999999999E-2</v>
      </c>
      <c r="I44" s="38" t="str">
        <f t="shared" si="1"/>
        <v>小幅下降</v>
      </c>
      <c r="J44" s="32" t="b">
        <f t="shared" si="2"/>
        <v>1</v>
      </c>
    </row>
    <row r="45" spans="1:10">
      <c r="A45" s="39">
        <v>14363</v>
      </c>
      <c r="B45" s="37" t="s">
        <v>19</v>
      </c>
      <c r="C45" s="37" t="s">
        <v>85</v>
      </c>
      <c r="D45" s="38" t="str">
        <f>VLOOKUP(B45, Mapping!$A:$B, 2, FALSE)</f>
        <v>北部</v>
      </c>
      <c r="E45" s="38" t="str">
        <f>IFERROR(VLOOKUP(A45, '113_Faraway'!$A:$C, 3,FALSE),"非偏遠")</f>
        <v>非偏遠</v>
      </c>
      <c r="F45" s="33">
        <f>VLOOKUP(A45, '111_Raw'!$B:$D,3,FALSE)</f>
        <v>693</v>
      </c>
      <c r="G45" s="33">
        <f>VLOOKUP(A45, '113_Raw'!$B:$D,3,FALSE)</f>
        <v>709</v>
      </c>
      <c r="H45" s="35">
        <f t="shared" si="0"/>
        <v>2.3E-2</v>
      </c>
      <c r="I45" s="38" t="str">
        <f t="shared" si="1"/>
        <v>穩定或成長</v>
      </c>
      <c r="J45" s="32" t="b">
        <f t="shared" si="2"/>
        <v>0</v>
      </c>
    </row>
    <row r="46" spans="1:10">
      <c r="A46" s="39">
        <v>14364</v>
      </c>
      <c r="B46" s="37" t="s">
        <v>19</v>
      </c>
      <c r="C46" s="37" t="s">
        <v>86</v>
      </c>
      <c r="D46" s="38" t="str">
        <f>VLOOKUP(B46, Mapping!$A:$B, 2, FALSE)</f>
        <v>北部</v>
      </c>
      <c r="E46" s="38" t="str">
        <f>IFERROR(VLOOKUP(A46, '113_Faraway'!$A:$C, 3,FALSE),"非偏遠")</f>
        <v>非偏遠</v>
      </c>
      <c r="F46" s="33">
        <f>VLOOKUP(A46, '111_Raw'!$B:$D,3,FALSE)</f>
        <v>784</v>
      </c>
      <c r="G46" s="33">
        <f>VLOOKUP(A46, '113_Raw'!$B:$D,3,FALSE)</f>
        <v>777</v>
      </c>
      <c r="H46" s="35">
        <f t="shared" si="0"/>
        <v>-8.9999999999999993E-3</v>
      </c>
      <c r="I46" s="38" t="str">
        <f t="shared" si="1"/>
        <v>小幅下降</v>
      </c>
      <c r="J46" s="32" t="b">
        <f t="shared" si="2"/>
        <v>0</v>
      </c>
    </row>
    <row r="47" spans="1:10">
      <c r="A47" s="39">
        <v>14381</v>
      </c>
      <c r="B47" s="37" t="s">
        <v>19</v>
      </c>
      <c r="C47" s="37" t="s">
        <v>87</v>
      </c>
      <c r="D47" s="38" t="str">
        <f>VLOOKUP(B47, Mapping!$A:$B, 2, FALSE)</f>
        <v>北部</v>
      </c>
      <c r="E47" s="38" t="str">
        <f>IFERROR(VLOOKUP(A47, '113_Faraway'!$A:$C, 3,FALSE),"非偏遠")</f>
        <v>非偏遠</v>
      </c>
      <c r="F47" s="33">
        <f>VLOOKUP(A47, '111_Raw'!$B:$D,3,FALSE)</f>
        <v>655</v>
      </c>
      <c r="G47" s="33">
        <f>VLOOKUP(A47, '113_Raw'!$B:$D,3,FALSE)</f>
        <v>662</v>
      </c>
      <c r="H47" s="35">
        <f t="shared" si="0"/>
        <v>1.0999999999999999E-2</v>
      </c>
      <c r="I47" s="38" t="str">
        <f t="shared" si="1"/>
        <v>穩定或成長</v>
      </c>
      <c r="J47" s="32" t="b">
        <f t="shared" si="2"/>
        <v>0</v>
      </c>
    </row>
    <row r="48" spans="1:10">
      <c r="A48" s="39">
        <v>14399</v>
      </c>
      <c r="B48" s="37" t="s">
        <v>19</v>
      </c>
      <c r="C48" s="37" t="s">
        <v>88</v>
      </c>
      <c r="D48" s="38" t="str">
        <f>VLOOKUP(B48, Mapping!$A:$B, 2, FALSE)</f>
        <v>北部</v>
      </c>
      <c r="E48" s="38" t="str">
        <f>IFERROR(VLOOKUP(A48, '113_Faraway'!$A:$C, 3,FALSE),"非偏遠")</f>
        <v>偏遠</v>
      </c>
      <c r="F48" s="33">
        <f>VLOOKUP(A48, '111_Raw'!$B:$D,3,FALSE)</f>
        <v>4</v>
      </c>
      <c r="G48" s="33">
        <f>VLOOKUP(A48, '113_Raw'!$B:$D,3,FALSE)</f>
        <v>5</v>
      </c>
      <c r="H48" s="35">
        <f t="shared" si="0"/>
        <v>0.25</v>
      </c>
      <c r="I48" s="38" t="str">
        <f t="shared" si="1"/>
        <v>穩定或成長</v>
      </c>
      <c r="J48" s="32" t="b">
        <f t="shared" si="2"/>
        <v>0</v>
      </c>
    </row>
    <row r="49" spans="1:10">
      <c r="A49" s="39">
        <v>20301</v>
      </c>
      <c r="B49" s="37" t="s">
        <v>20</v>
      </c>
      <c r="C49" s="37" t="s">
        <v>89</v>
      </c>
      <c r="D49" s="38" t="str">
        <f>VLOOKUP(B49, Mapping!$A:$B, 2, FALSE)</f>
        <v>北部</v>
      </c>
      <c r="E49" s="38" t="str">
        <f>IFERROR(VLOOKUP(A49, '113_Faraway'!$A:$C, 3,FALSE),"非偏遠")</f>
        <v>非偏遠</v>
      </c>
      <c r="F49" s="33">
        <f>VLOOKUP(A49, '111_Raw'!$B:$D,3,FALSE)</f>
        <v>1365</v>
      </c>
      <c r="G49" s="33">
        <f>VLOOKUP(A49, '113_Raw'!$B:$D,3,FALSE)</f>
        <v>1392</v>
      </c>
      <c r="H49" s="35">
        <f t="shared" si="0"/>
        <v>0.02</v>
      </c>
      <c r="I49" s="38" t="str">
        <f t="shared" si="1"/>
        <v>穩定或成長</v>
      </c>
      <c r="J49" s="32" t="b">
        <f t="shared" si="2"/>
        <v>0</v>
      </c>
    </row>
    <row r="50" spans="1:10">
      <c r="A50" s="39">
        <v>20302</v>
      </c>
      <c r="B50" s="37" t="s">
        <v>20</v>
      </c>
      <c r="C50" s="37" t="s">
        <v>90</v>
      </c>
      <c r="D50" s="38" t="str">
        <f>VLOOKUP(B50, Mapping!$A:$B, 2, FALSE)</f>
        <v>北部</v>
      </c>
      <c r="E50" s="38" t="str">
        <f>IFERROR(VLOOKUP(A50, '113_Faraway'!$A:$C, 3,FALSE),"非偏遠")</f>
        <v>非偏遠</v>
      </c>
      <c r="F50" s="33">
        <f>VLOOKUP(A50, '111_Raw'!$B:$D,3,FALSE)</f>
        <v>1405</v>
      </c>
      <c r="G50" s="33">
        <f>VLOOKUP(A50, '113_Raw'!$B:$D,3,FALSE)</f>
        <v>1387</v>
      </c>
      <c r="H50" s="35">
        <f t="shared" si="0"/>
        <v>-1.2999999999999999E-2</v>
      </c>
      <c r="I50" s="38" t="str">
        <f t="shared" si="1"/>
        <v>小幅下降</v>
      </c>
      <c r="J50" s="32" t="b">
        <f t="shared" si="2"/>
        <v>0</v>
      </c>
    </row>
    <row r="51" spans="1:10">
      <c r="A51" s="39">
        <v>20308</v>
      </c>
      <c r="B51" s="37" t="s">
        <v>20</v>
      </c>
      <c r="C51" s="37" t="s">
        <v>91</v>
      </c>
      <c r="D51" s="38" t="str">
        <f>VLOOKUP(B51, Mapping!$A:$B, 2, FALSE)</f>
        <v>北部</v>
      </c>
      <c r="E51" s="38" t="str">
        <f>IFERROR(VLOOKUP(A51, '113_Faraway'!$A:$C, 3,FALSE),"非偏遠")</f>
        <v>非偏遠</v>
      </c>
      <c r="F51" s="33">
        <f>VLOOKUP(A51, '111_Raw'!$B:$D,3,FALSE)</f>
        <v>1331</v>
      </c>
      <c r="G51" s="33">
        <f>VLOOKUP(A51, '113_Raw'!$B:$D,3,FALSE)</f>
        <v>1295</v>
      </c>
      <c r="H51" s="35">
        <f t="shared" si="0"/>
        <v>-2.7E-2</v>
      </c>
      <c r="I51" s="38" t="str">
        <f t="shared" si="1"/>
        <v>小幅下降</v>
      </c>
      <c r="J51" s="32" t="b">
        <f t="shared" si="2"/>
        <v>1</v>
      </c>
    </row>
    <row r="52" spans="1:10">
      <c r="A52" s="39">
        <v>21301</v>
      </c>
      <c r="B52" s="37" t="s">
        <v>20</v>
      </c>
      <c r="C52" s="37" t="s">
        <v>92</v>
      </c>
      <c r="D52" s="38" t="str">
        <f>VLOOKUP(B52, Mapping!$A:$B, 2, FALSE)</f>
        <v>北部</v>
      </c>
      <c r="E52" s="38" t="str">
        <f>IFERROR(VLOOKUP(A52, '113_Faraway'!$A:$C, 3,FALSE),"非偏遠")</f>
        <v>非偏遠</v>
      </c>
      <c r="F52" s="33">
        <f>VLOOKUP(A52, '111_Raw'!$B:$D,3,FALSE)</f>
        <v>651</v>
      </c>
      <c r="G52" s="33">
        <f>VLOOKUP(A52, '113_Raw'!$B:$D,3,FALSE)</f>
        <v>609</v>
      </c>
      <c r="H52" s="35">
        <f t="shared" si="0"/>
        <v>-6.5000000000000002E-2</v>
      </c>
      <c r="I52" s="38" t="str">
        <f t="shared" si="1"/>
        <v>明顯下降</v>
      </c>
      <c r="J52" s="32" t="b">
        <f t="shared" si="2"/>
        <v>1</v>
      </c>
    </row>
    <row r="53" spans="1:10">
      <c r="A53" s="39">
        <v>21310</v>
      </c>
      <c r="B53" s="37" t="s">
        <v>20</v>
      </c>
      <c r="C53" s="37" t="s">
        <v>93</v>
      </c>
      <c r="D53" s="38" t="str">
        <f>VLOOKUP(B53, Mapping!$A:$B, 2, FALSE)</f>
        <v>北部</v>
      </c>
      <c r="E53" s="38" t="str">
        <f>IFERROR(VLOOKUP(A53, '113_Faraway'!$A:$C, 3,FALSE),"非偏遠")</f>
        <v>非偏遠</v>
      </c>
      <c r="F53" s="33">
        <f>VLOOKUP(A53, '111_Raw'!$B:$D,3,FALSE)</f>
        <v>242</v>
      </c>
      <c r="G53" s="33">
        <f>VLOOKUP(A53, '113_Raw'!$B:$D,3,FALSE)</f>
        <v>221</v>
      </c>
      <c r="H53" s="35">
        <f t="shared" si="0"/>
        <v>-8.6999999999999994E-2</v>
      </c>
      <c r="I53" s="38" t="str">
        <f t="shared" si="1"/>
        <v>明顯下降</v>
      </c>
      <c r="J53" s="32" t="b">
        <f t="shared" si="2"/>
        <v>1</v>
      </c>
    </row>
    <row r="54" spans="1:10">
      <c r="A54" s="39">
        <v>24322</v>
      </c>
      <c r="B54" s="37" t="s">
        <v>20</v>
      </c>
      <c r="C54" s="37" t="s">
        <v>94</v>
      </c>
      <c r="D54" s="38" t="str">
        <f>VLOOKUP(B54, Mapping!$A:$B, 2, FALSE)</f>
        <v>北部</v>
      </c>
      <c r="E54" s="38" t="str">
        <f>IFERROR(VLOOKUP(A54, '113_Faraway'!$A:$C, 3,FALSE),"非偏遠")</f>
        <v>偏遠</v>
      </c>
      <c r="F54" s="33">
        <f>VLOOKUP(A54, '111_Raw'!$B:$D,3,FALSE)</f>
        <v>157</v>
      </c>
      <c r="G54" s="33">
        <f>VLOOKUP(A54, '113_Raw'!$B:$D,3,FALSE)</f>
        <v>134</v>
      </c>
      <c r="H54" s="35">
        <f t="shared" si="0"/>
        <v>-0.14599999999999999</v>
      </c>
      <c r="I54" s="38" t="str">
        <f t="shared" si="1"/>
        <v>明顯下降</v>
      </c>
      <c r="J54" s="32" t="b">
        <f t="shared" si="2"/>
        <v>1</v>
      </c>
    </row>
    <row r="55" spans="1:10">
      <c r="A55" s="39">
        <v>24325</v>
      </c>
      <c r="B55" s="37" t="s">
        <v>20</v>
      </c>
      <c r="C55" s="37" t="s">
        <v>95</v>
      </c>
      <c r="D55" s="38" t="str">
        <f>VLOOKUP(B55, Mapping!$A:$B, 2, FALSE)</f>
        <v>北部</v>
      </c>
      <c r="E55" s="38" t="str">
        <f>IFERROR(VLOOKUP(A55, '113_Faraway'!$A:$C, 3,FALSE),"非偏遠")</f>
        <v>非偏遠</v>
      </c>
      <c r="F55" s="33">
        <f>VLOOKUP(A55, '111_Raw'!$B:$D,3,FALSE)</f>
        <v>156</v>
      </c>
      <c r="G55" s="33">
        <f>VLOOKUP(A55, '113_Raw'!$B:$D,3,FALSE)</f>
        <v>179</v>
      </c>
      <c r="H55" s="35">
        <f t="shared" si="0"/>
        <v>0.14699999999999999</v>
      </c>
      <c r="I55" s="38" t="str">
        <f t="shared" si="1"/>
        <v>穩定或成長</v>
      </c>
      <c r="J55" s="32" t="b">
        <f t="shared" si="2"/>
        <v>0</v>
      </c>
    </row>
    <row r="56" spans="1:10">
      <c r="A56" s="39">
        <v>30305</v>
      </c>
      <c r="B56" s="37" t="s">
        <v>21</v>
      </c>
      <c r="C56" s="37" t="s">
        <v>96</v>
      </c>
      <c r="D56" s="38" t="str">
        <f>VLOOKUP(B56, Mapping!$A:$B, 2, FALSE)</f>
        <v>北部</v>
      </c>
      <c r="E56" s="38" t="str">
        <f>IFERROR(VLOOKUP(A56, '113_Faraway'!$A:$C, 3,FALSE),"非偏遠")</f>
        <v>非偏遠</v>
      </c>
      <c r="F56" s="33">
        <f>VLOOKUP(A56, '111_Raw'!$B:$D,3,FALSE)</f>
        <v>2122</v>
      </c>
      <c r="G56" s="33">
        <f>VLOOKUP(A56, '113_Raw'!$B:$D,3,FALSE)</f>
        <v>2125</v>
      </c>
      <c r="H56" s="35">
        <f t="shared" si="0"/>
        <v>1E-3</v>
      </c>
      <c r="I56" s="38" t="str">
        <f t="shared" si="1"/>
        <v>穩定或成長</v>
      </c>
      <c r="J56" s="32" t="b">
        <f t="shared" si="2"/>
        <v>0</v>
      </c>
    </row>
    <row r="57" spans="1:10">
      <c r="A57" s="39">
        <v>31309</v>
      </c>
      <c r="B57" s="37" t="s">
        <v>21</v>
      </c>
      <c r="C57" s="37" t="s">
        <v>98</v>
      </c>
      <c r="D57" s="38" t="str">
        <f>VLOOKUP(B57, Mapping!$A:$B, 2, FALSE)</f>
        <v>北部</v>
      </c>
      <c r="E57" s="38" t="str">
        <f>IFERROR(VLOOKUP(A57, '113_Faraway'!$A:$C, 3,FALSE),"非偏遠")</f>
        <v>非偏遠</v>
      </c>
      <c r="F57" s="33">
        <f>VLOOKUP(A57, '111_Raw'!$B:$D,3,FALSE)</f>
        <v>4991</v>
      </c>
      <c r="G57" s="33">
        <f>VLOOKUP(A57, '113_Raw'!$B:$D,3,FALSE)</f>
        <v>4924</v>
      </c>
      <c r="H57" s="35">
        <f t="shared" si="0"/>
        <v>-1.2999999999999999E-2</v>
      </c>
      <c r="I57" s="38" t="str">
        <f t="shared" si="1"/>
        <v>小幅下降</v>
      </c>
      <c r="J57" s="32" t="b">
        <f t="shared" si="2"/>
        <v>0</v>
      </c>
    </row>
    <row r="58" spans="1:10">
      <c r="A58" s="39">
        <v>31310</v>
      </c>
      <c r="B58" s="37" t="s">
        <v>21</v>
      </c>
      <c r="C58" s="37" t="s">
        <v>99</v>
      </c>
      <c r="D58" s="38" t="str">
        <f>VLOOKUP(B58, Mapping!$A:$B, 2, FALSE)</f>
        <v>北部</v>
      </c>
      <c r="E58" s="38" t="str">
        <f>IFERROR(VLOOKUP(A58, '113_Faraway'!$A:$C, 3,FALSE),"非偏遠")</f>
        <v>非偏遠</v>
      </c>
      <c r="F58" s="33">
        <f>VLOOKUP(A58, '111_Raw'!$B:$D,3,FALSE)</f>
        <v>1216</v>
      </c>
      <c r="G58" s="33">
        <f>VLOOKUP(A58, '113_Raw'!$B:$D,3,FALSE)</f>
        <v>1295</v>
      </c>
      <c r="H58" s="35">
        <f t="shared" si="0"/>
        <v>6.5000000000000002E-2</v>
      </c>
      <c r="I58" s="38" t="str">
        <f t="shared" si="1"/>
        <v>穩定或成長</v>
      </c>
      <c r="J58" s="32" t="b">
        <f t="shared" si="2"/>
        <v>0</v>
      </c>
    </row>
    <row r="59" spans="1:10">
      <c r="A59" s="39">
        <v>31311</v>
      </c>
      <c r="B59" s="37" t="s">
        <v>21</v>
      </c>
      <c r="C59" s="37" t="s">
        <v>100</v>
      </c>
      <c r="D59" s="38" t="str">
        <f>VLOOKUP(B59, Mapping!$A:$B, 2, FALSE)</f>
        <v>北部</v>
      </c>
      <c r="E59" s="38" t="str">
        <f>IFERROR(VLOOKUP(A59, '113_Faraway'!$A:$C, 3,FALSE),"非偏遠")</f>
        <v>非偏遠</v>
      </c>
      <c r="F59" s="33">
        <f>VLOOKUP(A59, '111_Raw'!$B:$D,3,FALSE)</f>
        <v>1695</v>
      </c>
      <c r="G59" s="33">
        <f>VLOOKUP(A59, '113_Raw'!$B:$D,3,FALSE)</f>
        <v>1700</v>
      </c>
      <c r="H59" s="35">
        <f t="shared" si="0"/>
        <v>3.0000000000000001E-3</v>
      </c>
      <c r="I59" s="38" t="str">
        <f t="shared" si="1"/>
        <v>穩定或成長</v>
      </c>
      <c r="J59" s="32" t="b">
        <f t="shared" si="2"/>
        <v>0</v>
      </c>
    </row>
    <row r="60" spans="1:10">
      <c r="A60" s="39">
        <v>31312</v>
      </c>
      <c r="B60" s="37" t="s">
        <v>21</v>
      </c>
      <c r="C60" s="37" t="s">
        <v>101</v>
      </c>
      <c r="D60" s="38" t="str">
        <f>VLOOKUP(B60, Mapping!$A:$B, 2, FALSE)</f>
        <v>北部</v>
      </c>
      <c r="E60" s="38" t="str">
        <f>IFERROR(VLOOKUP(A60, '113_Faraway'!$A:$C, 3,FALSE),"非偏遠")</f>
        <v>非偏遠</v>
      </c>
      <c r="F60" s="33">
        <f>VLOOKUP(A60, '111_Raw'!$B:$D,3,FALSE)</f>
        <v>3523</v>
      </c>
      <c r="G60" s="33">
        <f>VLOOKUP(A60, '113_Raw'!$B:$D,3,FALSE)</f>
        <v>2983</v>
      </c>
      <c r="H60" s="35">
        <f t="shared" si="0"/>
        <v>-0.153</v>
      </c>
      <c r="I60" s="38" t="str">
        <f t="shared" si="1"/>
        <v>明顯下降</v>
      </c>
      <c r="J60" s="32" t="b">
        <f t="shared" si="2"/>
        <v>1</v>
      </c>
    </row>
    <row r="61" spans="1:10">
      <c r="A61" s="39">
        <v>31313</v>
      </c>
      <c r="B61" s="37" t="s">
        <v>21</v>
      </c>
      <c r="C61" s="37" t="s">
        <v>102</v>
      </c>
      <c r="D61" s="38" t="str">
        <f>VLOOKUP(B61, Mapping!$A:$B, 2, FALSE)</f>
        <v>北部</v>
      </c>
      <c r="E61" s="38" t="str">
        <f>IFERROR(VLOOKUP(A61, '113_Faraway'!$A:$C, 3,FALSE),"非偏遠")</f>
        <v>非偏遠</v>
      </c>
      <c r="F61" s="33">
        <f>VLOOKUP(A61, '111_Raw'!$B:$D,3,FALSE)</f>
        <v>3076</v>
      </c>
      <c r="G61" s="33">
        <f>VLOOKUP(A61, '113_Raw'!$B:$D,3,FALSE)</f>
        <v>3010</v>
      </c>
      <c r="H61" s="35">
        <f t="shared" si="0"/>
        <v>-2.1000000000000001E-2</v>
      </c>
      <c r="I61" s="38" t="str">
        <f t="shared" si="1"/>
        <v>小幅下降</v>
      </c>
      <c r="J61" s="32" t="b">
        <f t="shared" si="2"/>
        <v>1</v>
      </c>
    </row>
    <row r="62" spans="1:10">
      <c r="A62" s="39">
        <v>31317</v>
      </c>
      <c r="B62" s="37" t="s">
        <v>21</v>
      </c>
      <c r="C62" s="37" t="s">
        <v>103</v>
      </c>
      <c r="D62" s="38" t="str">
        <f>VLOOKUP(B62, Mapping!$A:$B, 2, FALSE)</f>
        <v>北部</v>
      </c>
      <c r="E62" s="38" t="str">
        <f>IFERROR(VLOOKUP(A62, '113_Faraway'!$A:$C, 3,FALSE),"非偏遠")</f>
        <v>非偏遠</v>
      </c>
      <c r="F62" s="33">
        <f>VLOOKUP(A62, '111_Raw'!$B:$D,3,FALSE)</f>
        <v>677</v>
      </c>
      <c r="G62" s="33">
        <f>VLOOKUP(A62, '113_Raw'!$B:$D,3,FALSE)</f>
        <v>666</v>
      </c>
      <c r="H62" s="35">
        <f t="shared" si="0"/>
        <v>-1.6E-2</v>
      </c>
      <c r="I62" s="38" t="str">
        <f t="shared" si="1"/>
        <v>小幅下降</v>
      </c>
      <c r="J62" s="32" t="b">
        <f t="shared" si="2"/>
        <v>1</v>
      </c>
    </row>
    <row r="63" spans="1:10">
      <c r="A63" s="39">
        <v>31318</v>
      </c>
      <c r="B63" s="37" t="s">
        <v>21</v>
      </c>
      <c r="C63" s="37" t="s">
        <v>104</v>
      </c>
      <c r="D63" s="38" t="str">
        <f>VLOOKUP(B63, Mapping!$A:$B, 2, FALSE)</f>
        <v>北部</v>
      </c>
      <c r="E63" s="38" t="str">
        <f>IFERROR(VLOOKUP(A63, '113_Faraway'!$A:$C, 3,FALSE),"非偏遠")</f>
        <v>非偏遠</v>
      </c>
      <c r="F63" s="33">
        <f>VLOOKUP(A63, '111_Raw'!$B:$D,3,FALSE)</f>
        <v>4288</v>
      </c>
      <c r="G63" s="33">
        <f>VLOOKUP(A63, '113_Raw'!$B:$D,3,FALSE)</f>
        <v>4055</v>
      </c>
      <c r="H63" s="35">
        <f t="shared" si="0"/>
        <v>-5.3999999999999999E-2</v>
      </c>
      <c r="I63" s="38" t="str">
        <f t="shared" si="1"/>
        <v>明顯下降</v>
      </c>
      <c r="J63" s="32" t="b">
        <f t="shared" si="2"/>
        <v>1</v>
      </c>
    </row>
    <row r="64" spans="1:10">
      <c r="A64" s="39">
        <v>31319</v>
      </c>
      <c r="B64" s="37" t="s">
        <v>21</v>
      </c>
      <c r="C64" s="37" t="s">
        <v>105</v>
      </c>
      <c r="D64" s="38" t="str">
        <f>VLOOKUP(B64, Mapping!$A:$B, 2, FALSE)</f>
        <v>北部</v>
      </c>
      <c r="E64" s="38" t="str">
        <f>IFERROR(VLOOKUP(A64, '113_Faraway'!$A:$C, 3,FALSE),"非偏遠")</f>
        <v>非偏遠</v>
      </c>
      <c r="F64" s="33">
        <f>VLOOKUP(A64, '111_Raw'!$B:$D,3,FALSE)</f>
        <v>282</v>
      </c>
      <c r="G64" s="33">
        <f>VLOOKUP(A64, '113_Raw'!$B:$D,3,FALSE)</f>
        <v>276</v>
      </c>
      <c r="H64" s="35">
        <f t="shared" si="0"/>
        <v>-2.1000000000000001E-2</v>
      </c>
      <c r="I64" s="38" t="str">
        <f t="shared" si="1"/>
        <v>小幅下降</v>
      </c>
      <c r="J64" s="32" t="b">
        <f t="shared" si="2"/>
        <v>1</v>
      </c>
    </row>
    <row r="65" spans="1:10">
      <c r="A65" s="39">
        <v>31320</v>
      </c>
      <c r="B65" s="37" t="s">
        <v>21</v>
      </c>
      <c r="C65" s="37" t="s">
        <v>106</v>
      </c>
      <c r="D65" s="38" t="str">
        <f>VLOOKUP(B65, Mapping!$A:$B, 2, FALSE)</f>
        <v>北部</v>
      </c>
      <c r="E65" s="38" t="str">
        <f>IFERROR(VLOOKUP(A65, '113_Faraway'!$A:$C, 3,FALSE),"非偏遠")</f>
        <v>非偏遠</v>
      </c>
      <c r="F65" s="33">
        <f>VLOOKUP(A65, '111_Raw'!$B:$D,3,FALSE)</f>
        <v>5279</v>
      </c>
      <c r="G65" s="33">
        <f>VLOOKUP(A65, '113_Raw'!$B:$D,3,FALSE)</f>
        <v>5142</v>
      </c>
      <c r="H65" s="35">
        <f t="shared" si="0"/>
        <v>-2.5999999999999999E-2</v>
      </c>
      <c r="I65" s="38" t="str">
        <f t="shared" ref="I65:I127" si="3">IF(H65&gt;=0,"穩定或成長",IF(H65&gt;-0.05,"小幅下降","明顯下降"))</f>
        <v>小幅下降</v>
      </c>
      <c r="J65" s="32" t="b">
        <f t="shared" si="2"/>
        <v>1</v>
      </c>
    </row>
    <row r="66" spans="1:10">
      <c r="A66" s="39">
        <v>31323</v>
      </c>
      <c r="B66" s="37" t="s">
        <v>21</v>
      </c>
      <c r="C66" s="37" t="s">
        <v>107</v>
      </c>
      <c r="D66" s="38" t="str">
        <f>VLOOKUP(B66, Mapping!$A:$B, 2, FALSE)</f>
        <v>北部</v>
      </c>
      <c r="E66" s="38" t="str">
        <f>IFERROR(VLOOKUP(A66, '113_Faraway'!$A:$C, 3,FALSE),"非偏遠")</f>
        <v>非偏遠</v>
      </c>
      <c r="F66" s="33">
        <f>VLOOKUP(A66, '111_Raw'!$B:$D,3,FALSE)</f>
        <v>273</v>
      </c>
      <c r="G66" s="33">
        <f>VLOOKUP(A66, '113_Raw'!$B:$D,3,FALSE)</f>
        <v>238</v>
      </c>
      <c r="H66" s="35">
        <f t="shared" si="0"/>
        <v>-0.128</v>
      </c>
      <c r="I66" s="38" t="str">
        <f t="shared" si="3"/>
        <v>明顯下降</v>
      </c>
      <c r="J66" s="32" t="b">
        <f t="shared" si="2"/>
        <v>1</v>
      </c>
    </row>
    <row r="67" spans="1:10">
      <c r="A67" s="39">
        <v>31324</v>
      </c>
      <c r="B67" s="37" t="s">
        <v>21</v>
      </c>
      <c r="C67" s="37" t="s">
        <v>108</v>
      </c>
      <c r="D67" s="38" t="str">
        <f>VLOOKUP(B67, Mapping!$A:$B, 2, FALSE)</f>
        <v>北部</v>
      </c>
      <c r="E67" s="38" t="str">
        <f>IFERROR(VLOOKUP(A67, '113_Faraway'!$A:$C, 3,FALSE),"非偏遠")</f>
        <v>非偏遠</v>
      </c>
      <c r="F67" s="33">
        <f>VLOOKUP(A67, '111_Raw'!$B:$D,3,FALSE)</f>
        <v>1484</v>
      </c>
      <c r="G67" s="33">
        <f>VLOOKUP(A67, '113_Raw'!$B:$D,3,FALSE)</f>
        <v>1206</v>
      </c>
      <c r="H67" s="35">
        <f t="shared" ref="H67:H130" si="4">ROUND((G67-F67)/F67,3)</f>
        <v>-0.187</v>
      </c>
      <c r="I67" s="38" t="str">
        <f t="shared" si="3"/>
        <v>明顯下降</v>
      </c>
      <c r="J67" s="32" t="b">
        <f t="shared" ref="J67:J130" si="5">IF(H67 &lt; $K$2, TRUE, FALSE)</f>
        <v>1</v>
      </c>
    </row>
    <row r="68" spans="1:10">
      <c r="A68" s="39">
        <v>31326</v>
      </c>
      <c r="B68" s="37" t="s">
        <v>21</v>
      </c>
      <c r="C68" s="37" t="s">
        <v>109</v>
      </c>
      <c r="D68" s="38" t="str">
        <f>VLOOKUP(B68, Mapping!$A:$B, 2, FALSE)</f>
        <v>北部</v>
      </c>
      <c r="E68" s="38" t="str">
        <f>IFERROR(VLOOKUP(A68, '113_Faraway'!$A:$C, 3,FALSE),"非偏遠")</f>
        <v>非偏遠</v>
      </c>
      <c r="F68" s="33">
        <f>VLOOKUP(A68, '111_Raw'!$B:$D,3,FALSE)</f>
        <v>258</v>
      </c>
      <c r="G68" s="33">
        <f>VLOOKUP(A68, '113_Raw'!$B:$D,3,FALSE)</f>
        <v>321</v>
      </c>
      <c r="H68" s="35">
        <f t="shared" si="4"/>
        <v>0.24399999999999999</v>
      </c>
      <c r="I68" s="38" t="str">
        <f t="shared" si="3"/>
        <v>穩定或成長</v>
      </c>
      <c r="J68" s="32" t="b">
        <f t="shared" si="5"/>
        <v>0</v>
      </c>
    </row>
    <row r="69" spans="1:10">
      <c r="A69" s="39">
        <v>33302</v>
      </c>
      <c r="B69" s="37" t="s">
        <v>21</v>
      </c>
      <c r="C69" s="37" t="s">
        <v>110</v>
      </c>
      <c r="D69" s="38" t="str">
        <f>VLOOKUP(B69, Mapping!$A:$B, 2, FALSE)</f>
        <v>北部</v>
      </c>
      <c r="E69" s="38" t="str">
        <f>IFERROR(VLOOKUP(A69, '113_Faraway'!$A:$C, 3,FALSE),"非偏遠")</f>
        <v>非偏遠</v>
      </c>
      <c r="F69" s="33">
        <f>VLOOKUP(A69, '111_Raw'!$B:$D,3,FALSE)</f>
        <v>1340</v>
      </c>
      <c r="G69" s="33">
        <f>VLOOKUP(A69, '113_Raw'!$B:$D,3,FALSE)</f>
        <v>1337</v>
      </c>
      <c r="H69" s="35">
        <f t="shared" si="4"/>
        <v>-2E-3</v>
      </c>
      <c r="I69" s="38" t="str">
        <f t="shared" si="3"/>
        <v>小幅下降</v>
      </c>
      <c r="J69" s="32" t="b">
        <f t="shared" si="5"/>
        <v>0</v>
      </c>
    </row>
    <row r="70" spans="1:10">
      <c r="A70" s="39">
        <v>33304</v>
      </c>
      <c r="B70" s="37" t="s">
        <v>21</v>
      </c>
      <c r="C70" s="37" t="s">
        <v>111</v>
      </c>
      <c r="D70" s="38" t="str">
        <f>VLOOKUP(B70, Mapping!$A:$B, 2, FALSE)</f>
        <v>北部</v>
      </c>
      <c r="E70" s="38" t="str">
        <f>IFERROR(VLOOKUP(A70, '113_Faraway'!$A:$C, 3,FALSE),"非偏遠")</f>
        <v>非偏遠</v>
      </c>
      <c r="F70" s="33">
        <f>VLOOKUP(A70, '111_Raw'!$B:$D,3,FALSE)</f>
        <v>2325</v>
      </c>
      <c r="G70" s="33">
        <f>VLOOKUP(A70, '113_Raw'!$B:$D,3,FALSE)</f>
        <v>2308</v>
      </c>
      <c r="H70" s="35">
        <f t="shared" si="4"/>
        <v>-7.0000000000000001E-3</v>
      </c>
      <c r="I70" s="38" t="str">
        <f t="shared" si="3"/>
        <v>小幅下降</v>
      </c>
      <c r="J70" s="32" t="b">
        <f t="shared" si="5"/>
        <v>0</v>
      </c>
    </row>
    <row r="71" spans="1:10">
      <c r="A71" s="39">
        <v>33306</v>
      </c>
      <c r="B71" s="37" t="s">
        <v>21</v>
      </c>
      <c r="C71" s="37" t="s">
        <v>112</v>
      </c>
      <c r="D71" s="38" t="str">
        <f>VLOOKUP(B71, Mapping!$A:$B, 2, FALSE)</f>
        <v>北部</v>
      </c>
      <c r="E71" s="38" t="str">
        <f>IFERROR(VLOOKUP(A71, '113_Faraway'!$A:$C, 3,FALSE),"非偏遠")</f>
        <v>非偏遠</v>
      </c>
      <c r="F71" s="33">
        <f>VLOOKUP(A71, '111_Raw'!$B:$D,3,FALSE)</f>
        <v>2225</v>
      </c>
      <c r="G71" s="33">
        <f>VLOOKUP(A71, '113_Raw'!$B:$D,3,FALSE)</f>
        <v>2227</v>
      </c>
      <c r="H71" s="35">
        <f t="shared" si="4"/>
        <v>1E-3</v>
      </c>
      <c r="I71" s="38" t="str">
        <f t="shared" si="3"/>
        <v>穩定或成長</v>
      </c>
      <c r="J71" s="32" t="b">
        <f t="shared" si="5"/>
        <v>0</v>
      </c>
    </row>
    <row r="72" spans="1:10">
      <c r="A72" s="39">
        <v>33316</v>
      </c>
      <c r="B72" s="37" t="s">
        <v>21</v>
      </c>
      <c r="C72" s="37" t="s">
        <v>113</v>
      </c>
      <c r="D72" s="38" t="str">
        <f>VLOOKUP(B72, Mapping!$A:$B, 2, FALSE)</f>
        <v>北部</v>
      </c>
      <c r="E72" s="38" t="str">
        <f>IFERROR(VLOOKUP(A72, '113_Faraway'!$A:$C, 3,FALSE),"非偏遠")</f>
        <v>非偏遠</v>
      </c>
      <c r="F72" s="33">
        <f>VLOOKUP(A72, '111_Raw'!$B:$D,3,FALSE)</f>
        <v>1715</v>
      </c>
      <c r="G72" s="33">
        <f>VLOOKUP(A72, '113_Raw'!$B:$D,3,FALSE)</f>
        <v>1744</v>
      </c>
      <c r="H72" s="35">
        <f t="shared" si="4"/>
        <v>1.7000000000000001E-2</v>
      </c>
      <c r="I72" s="38" t="str">
        <f t="shared" si="3"/>
        <v>穩定或成長</v>
      </c>
      <c r="J72" s="32" t="b">
        <f t="shared" si="5"/>
        <v>0</v>
      </c>
    </row>
    <row r="73" spans="1:10">
      <c r="A73" s="39">
        <v>33325</v>
      </c>
      <c r="B73" s="37" t="s">
        <v>21</v>
      </c>
      <c r="C73" s="37" t="s">
        <v>114</v>
      </c>
      <c r="D73" s="38" t="str">
        <f>VLOOKUP(B73, Mapping!$A:$B, 2, FALSE)</f>
        <v>北部</v>
      </c>
      <c r="E73" s="38" t="str">
        <f>IFERROR(VLOOKUP(A73, '113_Faraway'!$A:$C, 3,FALSE),"非偏遠")</f>
        <v>非偏遠</v>
      </c>
      <c r="F73" s="33">
        <f>VLOOKUP(A73, '111_Raw'!$B:$D,3,FALSE)</f>
        <v>2099</v>
      </c>
      <c r="G73" s="33">
        <f>VLOOKUP(A73, '113_Raw'!$B:$D,3,FALSE)</f>
        <v>2096</v>
      </c>
      <c r="H73" s="35">
        <f t="shared" si="4"/>
        <v>-1E-3</v>
      </c>
      <c r="I73" s="38" t="str">
        <f t="shared" si="3"/>
        <v>小幅下降</v>
      </c>
      <c r="J73" s="32" t="b">
        <f t="shared" si="5"/>
        <v>0</v>
      </c>
    </row>
    <row r="74" spans="1:10">
      <c r="A74" s="39">
        <v>33327</v>
      </c>
      <c r="B74" s="37" t="s">
        <v>21</v>
      </c>
      <c r="C74" s="37" t="s">
        <v>115</v>
      </c>
      <c r="D74" s="38" t="str">
        <f>VLOOKUP(B74, Mapping!$A:$B, 2, FALSE)</f>
        <v>北部</v>
      </c>
      <c r="E74" s="38" t="str">
        <f>IFERROR(VLOOKUP(A74, '113_Faraway'!$A:$C, 3,FALSE),"非偏遠")</f>
        <v>非偏遠</v>
      </c>
      <c r="F74" s="33">
        <f>VLOOKUP(A74, '111_Raw'!$B:$D,3,FALSE)</f>
        <v>2019</v>
      </c>
      <c r="G74" s="33">
        <f>VLOOKUP(A74, '113_Raw'!$B:$D,3,FALSE)</f>
        <v>2021</v>
      </c>
      <c r="H74" s="35">
        <f t="shared" si="4"/>
        <v>1E-3</v>
      </c>
      <c r="I74" s="38" t="str">
        <f t="shared" si="3"/>
        <v>穩定或成長</v>
      </c>
      <c r="J74" s="32" t="b">
        <f t="shared" si="5"/>
        <v>0</v>
      </c>
    </row>
    <row r="75" spans="1:10">
      <c r="A75" s="39">
        <v>34306</v>
      </c>
      <c r="B75" s="37" t="s">
        <v>21</v>
      </c>
      <c r="C75" s="37" t="s">
        <v>116</v>
      </c>
      <c r="D75" s="38" t="str">
        <f>VLOOKUP(B75, Mapping!$A:$B, 2, FALSE)</f>
        <v>北部</v>
      </c>
      <c r="E75" s="38" t="str">
        <f>IFERROR(VLOOKUP(A75, '113_Faraway'!$A:$C, 3,FALSE),"非偏遠")</f>
        <v>非偏遠</v>
      </c>
      <c r="F75" s="33">
        <f>VLOOKUP(A75, '111_Raw'!$B:$D,3,FALSE)</f>
        <v>1405</v>
      </c>
      <c r="G75" s="33">
        <f>VLOOKUP(A75, '113_Raw'!$B:$D,3,FALSE)</f>
        <v>1396</v>
      </c>
      <c r="H75" s="35">
        <f t="shared" si="4"/>
        <v>-6.0000000000000001E-3</v>
      </c>
      <c r="I75" s="38" t="str">
        <f t="shared" si="3"/>
        <v>小幅下降</v>
      </c>
      <c r="J75" s="32" t="b">
        <f t="shared" si="5"/>
        <v>0</v>
      </c>
    </row>
    <row r="76" spans="1:10">
      <c r="A76" s="39">
        <v>34312</v>
      </c>
      <c r="B76" s="37" t="s">
        <v>21</v>
      </c>
      <c r="C76" s="37" t="s">
        <v>117</v>
      </c>
      <c r="D76" s="38" t="str">
        <f>VLOOKUP(B76, Mapping!$A:$B, 2, FALSE)</f>
        <v>北部</v>
      </c>
      <c r="E76" s="38" t="str">
        <f>IFERROR(VLOOKUP(A76, '113_Faraway'!$A:$C, 3,FALSE),"非偏遠")</f>
        <v>非偏遠</v>
      </c>
      <c r="F76" s="33">
        <f>VLOOKUP(A76, '111_Raw'!$B:$D,3,FALSE)</f>
        <v>1104</v>
      </c>
      <c r="G76" s="33">
        <f>VLOOKUP(A76, '113_Raw'!$B:$D,3,FALSE)</f>
        <v>1133</v>
      </c>
      <c r="H76" s="35">
        <f t="shared" si="4"/>
        <v>2.5999999999999999E-2</v>
      </c>
      <c r="I76" s="38" t="str">
        <f t="shared" si="3"/>
        <v>穩定或成長</v>
      </c>
      <c r="J76" s="32" t="b">
        <f t="shared" si="5"/>
        <v>0</v>
      </c>
    </row>
    <row r="77" spans="1:10">
      <c r="A77" s="39">
        <v>34314</v>
      </c>
      <c r="B77" s="37" t="s">
        <v>21</v>
      </c>
      <c r="C77" s="37" t="s">
        <v>118</v>
      </c>
      <c r="D77" s="38" t="str">
        <f>VLOOKUP(B77, Mapping!$A:$B, 2, FALSE)</f>
        <v>北部</v>
      </c>
      <c r="E77" s="38" t="str">
        <f>IFERROR(VLOOKUP(A77, '113_Faraway'!$A:$C, 3,FALSE),"非偏遠")</f>
        <v>非偏遠</v>
      </c>
      <c r="F77" s="33">
        <f>VLOOKUP(A77, '111_Raw'!$B:$D,3,FALSE)</f>
        <v>1875</v>
      </c>
      <c r="G77" s="33">
        <f>VLOOKUP(A77, '113_Raw'!$B:$D,3,FALSE)</f>
        <v>1935</v>
      </c>
      <c r="H77" s="35">
        <f t="shared" si="4"/>
        <v>3.2000000000000001E-2</v>
      </c>
      <c r="I77" s="38" t="str">
        <f t="shared" si="3"/>
        <v>穩定或成長</v>
      </c>
      <c r="J77" s="32" t="b">
        <f t="shared" si="5"/>
        <v>0</v>
      </c>
    </row>
    <row r="78" spans="1:10">
      <c r="A78" s="39">
        <v>34319</v>
      </c>
      <c r="B78" s="37" t="s">
        <v>21</v>
      </c>
      <c r="C78" s="37" t="s">
        <v>119</v>
      </c>
      <c r="D78" s="38" t="str">
        <f>VLOOKUP(B78, Mapping!$A:$B, 2, FALSE)</f>
        <v>北部</v>
      </c>
      <c r="E78" s="38" t="str">
        <f>IFERROR(VLOOKUP(A78, '113_Faraway'!$A:$C, 3,FALSE),"非偏遠")</f>
        <v>非偏遠</v>
      </c>
      <c r="F78" s="33">
        <f>VLOOKUP(A78, '111_Raw'!$B:$D,3,FALSE)</f>
        <v>1654</v>
      </c>
      <c r="G78" s="33">
        <f>VLOOKUP(A78, '113_Raw'!$B:$D,3,FALSE)</f>
        <v>1632</v>
      </c>
      <c r="H78" s="35">
        <f t="shared" si="4"/>
        <v>-1.2999999999999999E-2</v>
      </c>
      <c r="I78" s="38" t="str">
        <f t="shared" si="3"/>
        <v>小幅下降</v>
      </c>
      <c r="J78" s="32" t="b">
        <f t="shared" si="5"/>
        <v>0</v>
      </c>
    </row>
    <row r="79" spans="1:10">
      <c r="A79" s="39">
        <v>34332</v>
      </c>
      <c r="B79" s="37" t="s">
        <v>21</v>
      </c>
      <c r="C79" s="37" t="s">
        <v>120</v>
      </c>
      <c r="D79" s="38" t="str">
        <f>VLOOKUP(B79, Mapping!$A:$B, 2, FALSE)</f>
        <v>北部</v>
      </c>
      <c r="E79" s="38" t="str">
        <f>IFERROR(VLOOKUP(A79, '113_Faraway'!$A:$C, 3,FALSE),"非偏遠")</f>
        <v>非偏遠</v>
      </c>
      <c r="F79" s="33">
        <f>VLOOKUP(A79, '111_Raw'!$B:$D,3,FALSE)</f>
        <v>892</v>
      </c>
      <c r="G79" s="33">
        <f>VLOOKUP(A79, '113_Raw'!$B:$D,3,FALSE)</f>
        <v>889</v>
      </c>
      <c r="H79" s="35">
        <f t="shared" si="4"/>
        <v>-3.0000000000000001E-3</v>
      </c>
      <c r="I79" s="38" t="str">
        <f t="shared" si="3"/>
        <v>小幅下降</v>
      </c>
      <c r="J79" s="32" t="b">
        <f t="shared" si="5"/>
        <v>0</v>
      </c>
    </row>
    <row r="80" spans="1:10">
      <c r="A80" s="39">
        <v>34335</v>
      </c>
      <c r="B80" s="37" t="s">
        <v>21</v>
      </c>
      <c r="C80" s="37" t="s">
        <v>121</v>
      </c>
      <c r="D80" s="38" t="str">
        <f>VLOOKUP(B80, Mapping!$A:$B, 2, FALSE)</f>
        <v>北部</v>
      </c>
      <c r="E80" s="38" t="str">
        <f>IFERROR(VLOOKUP(A80, '113_Faraway'!$A:$C, 3,FALSE),"非偏遠")</f>
        <v>非偏遠</v>
      </c>
      <c r="F80" s="33">
        <f>VLOOKUP(A80, '111_Raw'!$B:$D,3,FALSE)</f>
        <v>549</v>
      </c>
      <c r="G80" s="33">
        <f>VLOOKUP(A80, '113_Raw'!$B:$D,3,FALSE)</f>
        <v>619</v>
      </c>
      <c r="H80" s="35">
        <f t="shared" si="4"/>
        <v>0.128</v>
      </c>
      <c r="I80" s="38" t="str">
        <f t="shared" si="3"/>
        <v>穩定或成長</v>
      </c>
      <c r="J80" s="32" t="b">
        <f t="shared" si="5"/>
        <v>0</v>
      </c>
    </row>
    <row r="81" spans="1:10">
      <c r="A81" s="39">
        <v>34347</v>
      </c>
      <c r="B81" s="37" t="s">
        <v>21</v>
      </c>
      <c r="C81" s="37" t="s">
        <v>122</v>
      </c>
      <c r="D81" s="38" t="str">
        <f>VLOOKUP(B81, Mapping!$A:$B, 2, FALSE)</f>
        <v>北部</v>
      </c>
      <c r="E81" s="38" t="str">
        <f>IFERROR(VLOOKUP(A81, '113_Faraway'!$A:$C, 3,FALSE),"非偏遠")</f>
        <v>非偏遠</v>
      </c>
      <c r="F81" s="33">
        <f>VLOOKUP(A81, '111_Raw'!$B:$D,3,FALSE)</f>
        <v>1274</v>
      </c>
      <c r="G81" s="33">
        <f>VLOOKUP(A81, '113_Raw'!$B:$D,3,FALSE)</f>
        <v>1334</v>
      </c>
      <c r="H81" s="35">
        <f t="shared" si="4"/>
        <v>4.7E-2</v>
      </c>
      <c r="I81" s="38" t="str">
        <f t="shared" si="3"/>
        <v>穩定或成長</v>
      </c>
      <c r="J81" s="32" t="b">
        <f t="shared" si="5"/>
        <v>0</v>
      </c>
    </row>
    <row r="82" spans="1:10">
      <c r="A82" s="39">
        <v>34348</v>
      </c>
      <c r="B82" s="37" t="s">
        <v>21</v>
      </c>
      <c r="C82" s="37" t="s">
        <v>123</v>
      </c>
      <c r="D82" s="38" t="str">
        <f>VLOOKUP(B82, Mapping!$A:$B, 2, FALSE)</f>
        <v>北部</v>
      </c>
      <c r="E82" s="38" t="str">
        <f>IFERROR(VLOOKUP(A82, '113_Faraway'!$A:$C, 3,FALSE),"非偏遠")</f>
        <v>偏遠</v>
      </c>
      <c r="F82" s="33">
        <f>VLOOKUP(A82, '111_Raw'!$B:$D,3,FALSE)</f>
        <v>107</v>
      </c>
      <c r="G82" s="33">
        <f>VLOOKUP(A82, '113_Raw'!$B:$D,3,FALSE)</f>
        <v>181</v>
      </c>
      <c r="H82" s="35">
        <f t="shared" si="4"/>
        <v>0.69199999999999995</v>
      </c>
      <c r="I82" s="38" t="str">
        <f t="shared" si="3"/>
        <v>穩定或成長</v>
      </c>
      <c r="J82" s="32" t="b">
        <f t="shared" si="5"/>
        <v>0</v>
      </c>
    </row>
    <row r="83" spans="1:10">
      <c r="A83" s="39">
        <v>34399</v>
      </c>
      <c r="B83" s="37" t="s">
        <v>21</v>
      </c>
      <c r="C83" s="37" t="s">
        <v>124</v>
      </c>
      <c r="D83" s="38" t="str">
        <f>VLOOKUP(B83, Mapping!$A:$B, 2, FALSE)</f>
        <v>北部</v>
      </c>
      <c r="E83" s="38" t="str">
        <f>IFERROR(VLOOKUP(A83, '113_Faraway'!$A:$C, 3,FALSE),"非偏遠")</f>
        <v>非偏遠</v>
      </c>
      <c r="F83" s="33">
        <f>VLOOKUP(A83, '111_Raw'!$B:$D,3,FALSE)</f>
        <v>1475</v>
      </c>
      <c r="G83" s="33">
        <f>VLOOKUP(A83, '113_Raw'!$B:$D,3,FALSE)</f>
        <v>1433</v>
      </c>
      <c r="H83" s="35">
        <f t="shared" si="4"/>
        <v>-2.8000000000000001E-2</v>
      </c>
      <c r="I83" s="38" t="str">
        <f t="shared" si="3"/>
        <v>小幅下降</v>
      </c>
      <c r="J83" s="32" t="b">
        <f t="shared" si="5"/>
        <v>1</v>
      </c>
    </row>
    <row r="84" spans="1:10">
      <c r="A84" s="39">
        <v>40302</v>
      </c>
      <c r="B84" s="37" t="s">
        <v>22</v>
      </c>
      <c r="C84" s="37" t="s">
        <v>125</v>
      </c>
      <c r="D84" s="38" t="str">
        <f>VLOOKUP(B84, Mapping!$A:$B, 2, FALSE)</f>
        <v>北部</v>
      </c>
      <c r="E84" s="38" t="str">
        <f>IFERROR(VLOOKUP(A84, '113_Faraway'!$A:$C, 3,FALSE),"非偏遠")</f>
        <v>非偏遠</v>
      </c>
      <c r="F84" s="33">
        <f>VLOOKUP(A84, '111_Raw'!$B:$D,3,FALSE)</f>
        <v>1506</v>
      </c>
      <c r="G84" s="33">
        <f>VLOOKUP(A84, '113_Raw'!$B:$D,3,FALSE)</f>
        <v>1495</v>
      </c>
      <c r="H84" s="35">
        <f t="shared" si="4"/>
        <v>-7.0000000000000001E-3</v>
      </c>
      <c r="I84" s="38" t="str">
        <f t="shared" si="3"/>
        <v>小幅下降</v>
      </c>
      <c r="J84" s="32" t="b">
        <f t="shared" si="5"/>
        <v>0</v>
      </c>
    </row>
    <row r="85" spans="1:10">
      <c r="A85" s="39">
        <v>40304</v>
      </c>
      <c r="B85" s="37" t="s">
        <v>22</v>
      </c>
      <c r="C85" s="37" t="s">
        <v>126</v>
      </c>
      <c r="D85" s="38" t="str">
        <f>VLOOKUP(B85, Mapping!$A:$B, 2, FALSE)</f>
        <v>北部</v>
      </c>
      <c r="E85" s="38" t="str">
        <f>IFERROR(VLOOKUP(A85, '113_Faraway'!$A:$C, 3,FALSE),"非偏遠")</f>
        <v>非偏遠</v>
      </c>
      <c r="F85" s="33">
        <f>VLOOKUP(A85, '111_Raw'!$B:$D,3,FALSE)</f>
        <v>873</v>
      </c>
      <c r="G85" s="33">
        <f>VLOOKUP(A85, '113_Raw'!$B:$D,3,FALSE)</f>
        <v>881</v>
      </c>
      <c r="H85" s="35">
        <f t="shared" si="4"/>
        <v>8.9999999999999993E-3</v>
      </c>
      <c r="I85" s="38" t="str">
        <f t="shared" si="3"/>
        <v>穩定或成長</v>
      </c>
      <c r="J85" s="32" t="b">
        <f t="shared" si="5"/>
        <v>0</v>
      </c>
    </row>
    <row r="86" spans="1:10">
      <c r="A86" s="39">
        <v>40308</v>
      </c>
      <c r="B86" s="37" t="s">
        <v>22</v>
      </c>
      <c r="C86" s="37" t="s">
        <v>127</v>
      </c>
      <c r="D86" s="38" t="str">
        <f>VLOOKUP(B86, Mapping!$A:$B, 2, FALSE)</f>
        <v>北部</v>
      </c>
      <c r="E86" s="38" t="str">
        <f>IFERROR(VLOOKUP(A86, '113_Faraway'!$A:$C, 3,FALSE),"非偏遠")</f>
        <v>非偏遠</v>
      </c>
      <c r="F86" s="33">
        <f>VLOOKUP(A86, '111_Raw'!$B:$D,3,FALSE)</f>
        <v>1855</v>
      </c>
      <c r="G86" s="33">
        <f>VLOOKUP(A86, '113_Raw'!$B:$D,3,FALSE)</f>
        <v>1890</v>
      </c>
      <c r="H86" s="35">
        <f t="shared" si="4"/>
        <v>1.9E-2</v>
      </c>
      <c r="I86" s="38" t="str">
        <f t="shared" si="3"/>
        <v>穩定或成長</v>
      </c>
      <c r="J86" s="32" t="b">
        <f t="shared" si="5"/>
        <v>0</v>
      </c>
    </row>
    <row r="87" spans="1:10">
      <c r="A87" s="39">
        <v>41303</v>
      </c>
      <c r="B87" s="37" t="s">
        <v>22</v>
      </c>
      <c r="C87" s="37" t="s">
        <v>128</v>
      </c>
      <c r="D87" s="38" t="str">
        <f>VLOOKUP(B87, Mapping!$A:$B, 2, FALSE)</f>
        <v>北部</v>
      </c>
      <c r="E87" s="38" t="str">
        <f>IFERROR(VLOOKUP(A87, '113_Faraway'!$A:$C, 3,FALSE),"非偏遠")</f>
        <v>非偏遠</v>
      </c>
      <c r="F87" s="33">
        <f>VLOOKUP(A87, '111_Raw'!$B:$D,3,FALSE)</f>
        <v>1899</v>
      </c>
      <c r="G87" s="33">
        <f>VLOOKUP(A87, '113_Raw'!$B:$D,3,FALSE)</f>
        <v>1879</v>
      </c>
      <c r="H87" s="35">
        <f t="shared" si="4"/>
        <v>-1.0999999999999999E-2</v>
      </c>
      <c r="I87" s="38" t="str">
        <f t="shared" si="3"/>
        <v>小幅下降</v>
      </c>
      <c r="J87" s="32" t="b">
        <f t="shared" si="5"/>
        <v>0</v>
      </c>
    </row>
    <row r="88" spans="1:10">
      <c r="A88" s="39">
        <v>41305</v>
      </c>
      <c r="B88" s="37" t="s">
        <v>22</v>
      </c>
      <c r="C88" s="37" t="s">
        <v>129</v>
      </c>
      <c r="D88" s="38" t="str">
        <f>VLOOKUP(B88, Mapping!$A:$B, 2, FALSE)</f>
        <v>北部</v>
      </c>
      <c r="E88" s="38" t="str">
        <f>IFERROR(VLOOKUP(A88, '113_Faraway'!$A:$C, 3,FALSE),"非偏遠")</f>
        <v>非偏遠</v>
      </c>
      <c r="F88" s="33">
        <f>VLOOKUP(A88, '111_Raw'!$B:$D,3,FALSE)</f>
        <v>589</v>
      </c>
      <c r="G88" s="33">
        <f>VLOOKUP(A88, '113_Raw'!$B:$D,3,FALSE)</f>
        <v>755</v>
      </c>
      <c r="H88" s="35">
        <f t="shared" si="4"/>
        <v>0.28199999999999997</v>
      </c>
      <c r="I88" s="38" t="str">
        <f t="shared" si="3"/>
        <v>穩定或成長</v>
      </c>
      <c r="J88" s="32" t="b">
        <f t="shared" si="5"/>
        <v>0</v>
      </c>
    </row>
    <row r="89" spans="1:10">
      <c r="A89" s="39">
        <v>41306</v>
      </c>
      <c r="B89" s="37" t="s">
        <v>22</v>
      </c>
      <c r="C89" s="37" t="s">
        <v>130</v>
      </c>
      <c r="D89" s="38" t="str">
        <f>VLOOKUP(B89, Mapping!$A:$B, 2, FALSE)</f>
        <v>北部</v>
      </c>
      <c r="E89" s="38" t="str">
        <f>IFERROR(VLOOKUP(A89, '113_Faraway'!$A:$C, 3,FALSE),"非偏遠")</f>
        <v>非偏遠</v>
      </c>
      <c r="F89" s="33">
        <f>VLOOKUP(A89, '111_Raw'!$B:$D,3,FALSE)</f>
        <v>1463</v>
      </c>
      <c r="G89" s="33">
        <f>VLOOKUP(A89, '113_Raw'!$B:$D,3,FALSE)</f>
        <v>1612</v>
      </c>
      <c r="H89" s="35">
        <f t="shared" si="4"/>
        <v>0.10199999999999999</v>
      </c>
      <c r="I89" s="38" t="str">
        <f t="shared" si="3"/>
        <v>穩定或成長</v>
      </c>
      <c r="J89" s="32" t="b">
        <f t="shared" si="5"/>
        <v>0</v>
      </c>
    </row>
    <row r="90" spans="1:10">
      <c r="A90" s="39">
        <v>41307</v>
      </c>
      <c r="B90" s="37" t="s">
        <v>22</v>
      </c>
      <c r="C90" s="37" t="s">
        <v>131</v>
      </c>
      <c r="D90" s="38" t="str">
        <f>VLOOKUP(B90, Mapping!$A:$B, 2, FALSE)</f>
        <v>北部</v>
      </c>
      <c r="E90" s="38" t="str">
        <f>IFERROR(VLOOKUP(A90, '113_Faraway'!$A:$C, 3,FALSE),"非偏遠")</f>
        <v>非偏遠</v>
      </c>
      <c r="F90" s="33">
        <f>VLOOKUP(A90, '111_Raw'!$B:$D,3,FALSE)</f>
        <v>1190</v>
      </c>
      <c r="G90" s="33">
        <f>VLOOKUP(A90, '113_Raw'!$B:$D,3,FALSE)</f>
        <v>1350</v>
      </c>
      <c r="H90" s="35">
        <f t="shared" si="4"/>
        <v>0.13400000000000001</v>
      </c>
      <c r="I90" s="38" t="str">
        <f t="shared" si="3"/>
        <v>穩定或成長</v>
      </c>
      <c r="J90" s="32" t="b">
        <f t="shared" si="5"/>
        <v>0</v>
      </c>
    </row>
    <row r="91" spans="1:10">
      <c r="A91" s="39">
        <v>44311</v>
      </c>
      <c r="B91" s="37" t="s">
        <v>22</v>
      </c>
      <c r="C91" s="37" t="s">
        <v>132</v>
      </c>
      <c r="D91" s="38" t="str">
        <f>VLOOKUP(B91, Mapping!$A:$B, 2, FALSE)</f>
        <v>北部</v>
      </c>
      <c r="E91" s="38" t="str">
        <f>IFERROR(VLOOKUP(A91, '113_Faraway'!$A:$C, 3,FALSE),"非偏遠")</f>
        <v>非偏遠</v>
      </c>
      <c r="F91" s="33">
        <f>VLOOKUP(A91, '111_Raw'!$B:$D,3,FALSE)</f>
        <v>796</v>
      </c>
      <c r="G91" s="33">
        <f>VLOOKUP(A91, '113_Raw'!$B:$D,3,FALSE)</f>
        <v>864</v>
      </c>
      <c r="H91" s="35">
        <f t="shared" si="4"/>
        <v>8.5000000000000006E-2</v>
      </c>
      <c r="I91" s="38" t="str">
        <f t="shared" si="3"/>
        <v>穩定或成長</v>
      </c>
      <c r="J91" s="32" t="b">
        <f t="shared" si="5"/>
        <v>0</v>
      </c>
    </row>
    <row r="92" spans="1:10">
      <c r="A92" s="39">
        <v>44320</v>
      </c>
      <c r="B92" s="37" t="s">
        <v>22</v>
      </c>
      <c r="C92" s="37" t="s">
        <v>133</v>
      </c>
      <c r="D92" s="38" t="str">
        <f>VLOOKUP(B92, Mapping!$A:$B, 2, FALSE)</f>
        <v>北部</v>
      </c>
      <c r="E92" s="38" t="str">
        <f>IFERROR(VLOOKUP(A92, '113_Faraway'!$A:$C, 3,FALSE),"非偏遠")</f>
        <v>非偏遠</v>
      </c>
      <c r="F92" s="33">
        <f>VLOOKUP(A92, '111_Raw'!$B:$D,3,FALSE)</f>
        <v>612</v>
      </c>
      <c r="G92" s="33">
        <f>VLOOKUP(A92, '113_Raw'!$B:$D,3,FALSE)</f>
        <v>632</v>
      </c>
      <c r="H92" s="35">
        <f t="shared" si="4"/>
        <v>3.3000000000000002E-2</v>
      </c>
      <c r="I92" s="38" t="str">
        <f t="shared" si="3"/>
        <v>穩定或成長</v>
      </c>
      <c r="J92" s="32" t="b">
        <f t="shared" si="5"/>
        <v>0</v>
      </c>
    </row>
    <row r="93" spans="1:10">
      <c r="A93" s="39">
        <v>50303</v>
      </c>
      <c r="B93" s="37" t="s">
        <v>23</v>
      </c>
      <c r="C93" s="37" t="s">
        <v>134</v>
      </c>
      <c r="D93" s="38" t="str">
        <f>VLOOKUP(B93, Mapping!$A:$B, 2, FALSE)</f>
        <v>中部</v>
      </c>
      <c r="E93" s="38" t="str">
        <f>IFERROR(VLOOKUP(A93, '113_Faraway'!$A:$C, 3,FALSE),"非偏遠")</f>
        <v>非偏遠</v>
      </c>
      <c r="F93" s="33">
        <f>VLOOKUP(A93, '111_Raw'!$B:$D,3,FALSE)</f>
        <v>1347</v>
      </c>
      <c r="G93" s="33">
        <f>VLOOKUP(A93, '113_Raw'!$B:$D,3,FALSE)</f>
        <v>1359</v>
      </c>
      <c r="H93" s="35">
        <f t="shared" si="4"/>
        <v>8.9999999999999993E-3</v>
      </c>
      <c r="I93" s="38" t="str">
        <f t="shared" si="3"/>
        <v>穩定或成長</v>
      </c>
      <c r="J93" s="32" t="b">
        <f t="shared" si="5"/>
        <v>0</v>
      </c>
    </row>
    <row r="94" spans="1:10">
      <c r="A94" s="39">
        <v>50310</v>
      </c>
      <c r="B94" s="37" t="s">
        <v>23</v>
      </c>
      <c r="C94" s="37" t="s">
        <v>135</v>
      </c>
      <c r="D94" s="38" t="str">
        <f>VLOOKUP(B94, Mapping!$A:$B, 2, FALSE)</f>
        <v>中部</v>
      </c>
      <c r="E94" s="38" t="str">
        <f>IFERROR(VLOOKUP(A94, '113_Faraway'!$A:$C, 3,FALSE),"非偏遠")</f>
        <v>非偏遠</v>
      </c>
      <c r="F94" s="33">
        <f>VLOOKUP(A94, '111_Raw'!$B:$D,3,FALSE)</f>
        <v>1451</v>
      </c>
      <c r="G94" s="33">
        <f>VLOOKUP(A94, '113_Raw'!$B:$D,3,FALSE)</f>
        <v>1508</v>
      </c>
      <c r="H94" s="35">
        <f t="shared" si="4"/>
        <v>3.9E-2</v>
      </c>
      <c r="I94" s="38" t="str">
        <f t="shared" si="3"/>
        <v>穩定或成長</v>
      </c>
      <c r="J94" s="32" t="b">
        <f t="shared" si="5"/>
        <v>0</v>
      </c>
    </row>
    <row r="95" spans="1:10">
      <c r="A95" s="39">
        <v>50314</v>
      </c>
      <c r="B95" s="37" t="s">
        <v>23</v>
      </c>
      <c r="C95" s="37" t="s">
        <v>136</v>
      </c>
      <c r="D95" s="38" t="str">
        <f>VLOOKUP(B95, Mapping!$A:$B, 2, FALSE)</f>
        <v>中部</v>
      </c>
      <c r="E95" s="38" t="str">
        <f>IFERROR(VLOOKUP(A95, '113_Faraway'!$A:$C, 3,FALSE),"非偏遠")</f>
        <v>非偏遠</v>
      </c>
      <c r="F95" s="33">
        <f>VLOOKUP(A95, '111_Raw'!$B:$D,3,FALSE)</f>
        <v>744</v>
      </c>
      <c r="G95" s="33">
        <f>VLOOKUP(A95, '113_Raw'!$B:$D,3,FALSE)</f>
        <v>584</v>
      </c>
      <c r="H95" s="35">
        <f t="shared" si="4"/>
        <v>-0.215</v>
      </c>
      <c r="I95" s="38" t="str">
        <f t="shared" si="3"/>
        <v>明顯下降</v>
      </c>
      <c r="J95" s="32" t="b">
        <f t="shared" si="5"/>
        <v>1</v>
      </c>
    </row>
    <row r="96" spans="1:10">
      <c r="A96" s="39">
        <v>50315</v>
      </c>
      <c r="B96" s="37" t="s">
        <v>23</v>
      </c>
      <c r="C96" s="37" t="s">
        <v>137</v>
      </c>
      <c r="D96" s="38" t="str">
        <f>VLOOKUP(B96, Mapping!$A:$B, 2, FALSE)</f>
        <v>中部</v>
      </c>
      <c r="E96" s="38" t="str">
        <f>IFERROR(VLOOKUP(A96, '113_Faraway'!$A:$C, 3,FALSE),"非偏遠")</f>
        <v>非偏遠</v>
      </c>
      <c r="F96" s="33">
        <f>VLOOKUP(A96, '111_Raw'!$B:$D,3,FALSE)</f>
        <v>1156</v>
      </c>
      <c r="G96" s="33">
        <f>VLOOKUP(A96, '113_Raw'!$B:$D,3,FALSE)</f>
        <v>1108</v>
      </c>
      <c r="H96" s="35">
        <f t="shared" si="4"/>
        <v>-4.2000000000000003E-2</v>
      </c>
      <c r="I96" s="38" t="str">
        <f t="shared" si="3"/>
        <v>小幅下降</v>
      </c>
      <c r="J96" s="32" t="b">
        <f t="shared" si="5"/>
        <v>1</v>
      </c>
    </row>
    <row r="97" spans="1:10">
      <c r="A97" s="39">
        <v>51302</v>
      </c>
      <c r="B97" s="37" t="s">
        <v>23</v>
      </c>
      <c r="C97" s="37" t="s">
        <v>138</v>
      </c>
      <c r="D97" s="38" t="str">
        <f>VLOOKUP(B97, Mapping!$A:$B, 2, FALSE)</f>
        <v>中部</v>
      </c>
      <c r="E97" s="38" t="str">
        <f>IFERROR(VLOOKUP(A97, '113_Faraway'!$A:$C, 3,FALSE),"非偏遠")</f>
        <v>非偏遠</v>
      </c>
      <c r="F97" s="33">
        <f>VLOOKUP(A97, '111_Raw'!$B:$D,3,FALSE)</f>
        <v>1305</v>
      </c>
      <c r="G97" s="33">
        <f>VLOOKUP(A97, '113_Raw'!$B:$D,3,FALSE)</f>
        <v>1315</v>
      </c>
      <c r="H97" s="35">
        <f t="shared" si="4"/>
        <v>8.0000000000000002E-3</v>
      </c>
      <c r="I97" s="38" t="str">
        <f t="shared" si="3"/>
        <v>穩定或成長</v>
      </c>
      <c r="J97" s="32" t="b">
        <f t="shared" si="5"/>
        <v>0</v>
      </c>
    </row>
    <row r="98" spans="1:10">
      <c r="A98" s="39">
        <v>51306</v>
      </c>
      <c r="B98" s="37" t="s">
        <v>23</v>
      </c>
      <c r="C98" s="37" t="s">
        <v>140</v>
      </c>
      <c r="D98" s="38" t="str">
        <f>VLOOKUP(B98, Mapping!$A:$B, 2, FALSE)</f>
        <v>中部</v>
      </c>
      <c r="E98" s="38" t="str">
        <f>IFERROR(VLOOKUP(A98, '113_Faraway'!$A:$C, 3,FALSE),"非偏遠")</f>
        <v>非偏遠</v>
      </c>
      <c r="F98" s="33">
        <f>VLOOKUP(A98, '111_Raw'!$B:$D,3,FALSE)</f>
        <v>629</v>
      </c>
      <c r="G98" s="33">
        <f>VLOOKUP(A98, '113_Raw'!$B:$D,3,FALSE)</f>
        <v>459</v>
      </c>
      <c r="H98" s="35">
        <f t="shared" si="4"/>
        <v>-0.27</v>
      </c>
      <c r="I98" s="38" t="str">
        <f t="shared" si="3"/>
        <v>明顯下降</v>
      </c>
      <c r="J98" s="32" t="b">
        <f t="shared" si="5"/>
        <v>1</v>
      </c>
    </row>
    <row r="99" spans="1:10">
      <c r="A99" s="39">
        <v>51307</v>
      </c>
      <c r="B99" s="37" t="s">
        <v>23</v>
      </c>
      <c r="C99" s="37" t="s">
        <v>141</v>
      </c>
      <c r="D99" s="38" t="str">
        <f>VLOOKUP(B99, Mapping!$A:$B, 2, FALSE)</f>
        <v>中部</v>
      </c>
      <c r="E99" s="38" t="str">
        <f>IFERROR(VLOOKUP(A99, '113_Faraway'!$A:$C, 3,FALSE),"非偏遠")</f>
        <v>非偏遠</v>
      </c>
      <c r="F99" s="33">
        <f>VLOOKUP(A99, '111_Raw'!$B:$D,3,FALSE)</f>
        <v>27</v>
      </c>
      <c r="G99" s="33">
        <f>VLOOKUP(A99, '113_Raw'!$B:$D,3,FALSE)</f>
        <v>23</v>
      </c>
      <c r="H99" s="35">
        <f t="shared" si="4"/>
        <v>-0.14799999999999999</v>
      </c>
      <c r="I99" s="38" t="str">
        <f t="shared" si="3"/>
        <v>明顯下降</v>
      </c>
      <c r="J99" s="32" t="b">
        <f t="shared" si="5"/>
        <v>1</v>
      </c>
    </row>
    <row r="100" spans="1:10">
      <c r="A100" s="39">
        <v>54308</v>
      </c>
      <c r="B100" s="37" t="s">
        <v>23</v>
      </c>
      <c r="C100" s="37" t="s">
        <v>142</v>
      </c>
      <c r="D100" s="38" t="str">
        <f>VLOOKUP(B100, Mapping!$A:$B, 2, FALSE)</f>
        <v>中部</v>
      </c>
      <c r="E100" s="38" t="str">
        <f>IFERROR(VLOOKUP(A100, '113_Faraway'!$A:$C, 3,FALSE),"非偏遠")</f>
        <v>非偏遠</v>
      </c>
      <c r="F100" s="33">
        <f>VLOOKUP(A100, '111_Raw'!$B:$D,3,FALSE)</f>
        <v>352</v>
      </c>
      <c r="G100" s="33">
        <f>VLOOKUP(A100, '113_Raw'!$B:$D,3,FALSE)</f>
        <v>277</v>
      </c>
      <c r="H100" s="35">
        <f t="shared" si="4"/>
        <v>-0.21299999999999999</v>
      </c>
      <c r="I100" s="38" t="str">
        <f t="shared" si="3"/>
        <v>明顯下降</v>
      </c>
      <c r="J100" s="32" t="b">
        <f t="shared" si="5"/>
        <v>1</v>
      </c>
    </row>
    <row r="101" spans="1:10">
      <c r="A101" s="39">
        <v>54309</v>
      </c>
      <c r="B101" s="37" t="s">
        <v>23</v>
      </c>
      <c r="C101" s="37" t="s">
        <v>143</v>
      </c>
      <c r="D101" s="38" t="str">
        <f>VLOOKUP(B101, Mapping!$A:$B, 2, FALSE)</f>
        <v>中部</v>
      </c>
      <c r="E101" s="38" t="str">
        <f>IFERROR(VLOOKUP(A101, '113_Faraway'!$A:$C, 3,FALSE),"非偏遠")</f>
        <v>非偏遠</v>
      </c>
      <c r="F101" s="33">
        <f>VLOOKUP(A101, '111_Raw'!$B:$D,3,FALSE)</f>
        <v>553</v>
      </c>
      <c r="G101" s="33">
        <f>VLOOKUP(A101, '113_Raw'!$B:$D,3,FALSE)</f>
        <v>579</v>
      </c>
      <c r="H101" s="35">
        <f t="shared" si="4"/>
        <v>4.7E-2</v>
      </c>
      <c r="I101" s="38" t="str">
        <f t="shared" si="3"/>
        <v>穩定或成長</v>
      </c>
      <c r="J101" s="32" t="b">
        <f t="shared" si="5"/>
        <v>0</v>
      </c>
    </row>
    <row r="102" spans="1:10">
      <c r="A102" s="39">
        <v>54317</v>
      </c>
      <c r="B102" s="37" t="s">
        <v>23</v>
      </c>
      <c r="C102" s="37" t="s">
        <v>144</v>
      </c>
      <c r="D102" s="38" t="str">
        <f>VLOOKUP(B102, Mapping!$A:$B, 2, FALSE)</f>
        <v>中部</v>
      </c>
      <c r="E102" s="38" t="str">
        <f>IFERROR(VLOOKUP(A102, '113_Faraway'!$A:$C, 3,FALSE),"非偏遠")</f>
        <v>非偏遠</v>
      </c>
      <c r="F102" s="33">
        <f>VLOOKUP(A102, '111_Raw'!$B:$D,3,FALSE)</f>
        <v>637</v>
      </c>
      <c r="G102" s="33">
        <f>VLOOKUP(A102, '113_Raw'!$B:$D,3,FALSE)</f>
        <v>694</v>
      </c>
      <c r="H102" s="35">
        <f t="shared" si="4"/>
        <v>8.8999999999999996E-2</v>
      </c>
      <c r="I102" s="38" t="str">
        <f t="shared" si="3"/>
        <v>穩定或成長</v>
      </c>
      <c r="J102" s="32" t="b">
        <f t="shared" si="5"/>
        <v>0</v>
      </c>
    </row>
    <row r="103" spans="1:10">
      <c r="A103" s="39">
        <v>54333</v>
      </c>
      <c r="B103" s="37" t="s">
        <v>23</v>
      </c>
      <c r="C103" s="37" t="s">
        <v>145</v>
      </c>
      <c r="D103" s="38" t="str">
        <f>VLOOKUP(B103, Mapping!$A:$B, 2, FALSE)</f>
        <v>中部</v>
      </c>
      <c r="E103" s="38" t="str">
        <f>IFERROR(VLOOKUP(A103, '113_Faraway'!$A:$C, 3,FALSE),"非偏遠")</f>
        <v>非偏遠</v>
      </c>
      <c r="F103" s="33">
        <f>VLOOKUP(A103, '111_Raw'!$B:$D,3,FALSE)</f>
        <v>456</v>
      </c>
      <c r="G103" s="33">
        <f>VLOOKUP(A103, '113_Raw'!$B:$D,3,FALSE)</f>
        <v>472</v>
      </c>
      <c r="H103" s="35">
        <f t="shared" si="4"/>
        <v>3.5000000000000003E-2</v>
      </c>
      <c r="I103" s="38" t="str">
        <f t="shared" si="3"/>
        <v>穩定或成長</v>
      </c>
      <c r="J103" s="32" t="b">
        <f t="shared" si="5"/>
        <v>0</v>
      </c>
    </row>
    <row r="104" spans="1:10">
      <c r="A104" s="39">
        <v>60322</v>
      </c>
      <c r="B104" s="37" t="s">
        <v>24</v>
      </c>
      <c r="C104" s="37" t="s">
        <v>146</v>
      </c>
      <c r="D104" s="38" t="str">
        <f>VLOOKUP(B104, Mapping!$A:$B, 2, FALSE)</f>
        <v>中部</v>
      </c>
      <c r="E104" s="38" t="str">
        <f>IFERROR(VLOOKUP(A104, '113_Faraway'!$A:$C, 3,FALSE),"非偏遠")</f>
        <v>非偏遠</v>
      </c>
      <c r="F104" s="33">
        <f>VLOOKUP(A104, '111_Raw'!$B:$D,3,FALSE)</f>
        <v>1519</v>
      </c>
      <c r="G104" s="33">
        <f>VLOOKUP(A104, '113_Raw'!$B:$D,3,FALSE)</f>
        <v>1509</v>
      </c>
      <c r="H104" s="35">
        <f t="shared" si="4"/>
        <v>-7.0000000000000001E-3</v>
      </c>
      <c r="I104" s="38" t="str">
        <f t="shared" si="3"/>
        <v>小幅下降</v>
      </c>
      <c r="J104" s="32" t="b">
        <f t="shared" si="5"/>
        <v>0</v>
      </c>
    </row>
    <row r="105" spans="1:10">
      <c r="A105" s="39">
        <v>60323</v>
      </c>
      <c r="B105" s="37" t="s">
        <v>24</v>
      </c>
      <c r="C105" s="37" t="s">
        <v>147</v>
      </c>
      <c r="D105" s="38" t="str">
        <f>VLOOKUP(B105, Mapping!$A:$B, 2, FALSE)</f>
        <v>中部</v>
      </c>
      <c r="E105" s="38" t="str">
        <f>IFERROR(VLOOKUP(A105, '113_Faraway'!$A:$C, 3,FALSE),"非偏遠")</f>
        <v>非偏遠</v>
      </c>
      <c r="F105" s="33">
        <f>VLOOKUP(A105, '111_Raw'!$B:$D,3,FALSE)</f>
        <v>418</v>
      </c>
      <c r="G105" s="33">
        <f>VLOOKUP(A105, '113_Raw'!$B:$D,3,FALSE)</f>
        <v>421</v>
      </c>
      <c r="H105" s="35">
        <f t="shared" si="4"/>
        <v>7.0000000000000001E-3</v>
      </c>
      <c r="I105" s="38" t="str">
        <f t="shared" si="3"/>
        <v>穩定或成長</v>
      </c>
      <c r="J105" s="32" t="b">
        <f t="shared" si="5"/>
        <v>0</v>
      </c>
    </row>
    <row r="106" spans="1:10">
      <c r="A106" s="39">
        <v>61301</v>
      </c>
      <c r="B106" s="37" t="s">
        <v>24</v>
      </c>
      <c r="C106" s="37" t="s">
        <v>148</v>
      </c>
      <c r="D106" s="38" t="str">
        <f>VLOOKUP(B106, Mapping!$A:$B, 2, FALSE)</f>
        <v>中部</v>
      </c>
      <c r="E106" s="38" t="str">
        <f>IFERROR(VLOOKUP(A106, '113_Faraway'!$A:$C, 3,FALSE),"非偏遠")</f>
        <v>非偏遠</v>
      </c>
      <c r="F106" s="33">
        <f>VLOOKUP(A106, '111_Raw'!$B:$D,3,FALSE)</f>
        <v>437</v>
      </c>
      <c r="G106" s="33">
        <f>VLOOKUP(A106, '113_Raw'!$B:$D,3,FALSE)</f>
        <v>501</v>
      </c>
      <c r="H106" s="35">
        <f t="shared" si="4"/>
        <v>0.14599999999999999</v>
      </c>
      <c r="I106" s="38" t="str">
        <f t="shared" si="3"/>
        <v>穩定或成長</v>
      </c>
      <c r="J106" s="32" t="b">
        <f t="shared" si="5"/>
        <v>0</v>
      </c>
    </row>
    <row r="107" spans="1:10">
      <c r="A107" s="39">
        <v>61306</v>
      </c>
      <c r="B107" s="37" t="s">
        <v>24</v>
      </c>
      <c r="C107" s="37" t="s">
        <v>149</v>
      </c>
      <c r="D107" s="38" t="str">
        <f>VLOOKUP(B107, Mapping!$A:$B, 2, FALSE)</f>
        <v>中部</v>
      </c>
      <c r="E107" s="38" t="str">
        <f>IFERROR(VLOOKUP(A107, '113_Faraway'!$A:$C, 3,FALSE),"非偏遠")</f>
        <v>非偏遠</v>
      </c>
      <c r="F107" s="33">
        <f>VLOOKUP(A107, '111_Raw'!$B:$D,3,FALSE)</f>
        <v>1477</v>
      </c>
      <c r="G107" s="33">
        <f>VLOOKUP(A107, '113_Raw'!$B:$D,3,FALSE)</f>
        <v>1361</v>
      </c>
      <c r="H107" s="35">
        <f t="shared" si="4"/>
        <v>-7.9000000000000001E-2</v>
      </c>
      <c r="I107" s="38" t="str">
        <f t="shared" si="3"/>
        <v>明顯下降</v>
      </c>
      <c r="J107" s="32" t="b">
        <f t="shared" si="5"/>
        <v>1</v>
      </c>
    </row>
    <row r="108" spans="1:10">
      <c r="A108" s="39">
        <v>61309</v>
      </c>
      <c r="B108" s="37" t="s">
        <v>24</v>
      </c>
      <c r="C108" s="37" t="s">
        <v>150</v>
      </c>
      <c r="D108" s="38" t="str">
        <f>VLOOKUP(B108, Mapping!$A:$B, 2, FALSE)</f>
        <v>中部</v>
      </c>
      <c r="E108" s="38" t="str">
        <f>IFERROR(VLOOKUP(A108, '113_Faraway'!$A:$C, 3,FALSE),"非偏遠")</f>
        <v>非偏遠</v>
      </c>
      <c r="F108" s="33">
        <f>VLOOKUP(A108, '111_Raw'!$B:$D,3,FALSE)</f>
        <v>1822</v>
      </c>
      <c r="G108" s="33">
        <f>VLOOKUP(A108, '113_Raw'!$B:$D,3,FALSE)</f>
        <v>1521</v>
      </c>
      <c r="H108" s="35">
        <f t="shared" si="4"/>
        <v>-0.16500000000000001</v>
      </c>
      <c r="I108" s="38" t="str">
        <f t="shared" si="3"/>
        <v>明顯下降</v>
      </c>
      <c r="J108" s="32" t="b">
        <f t="shared" si="5"/>
        <v>1</v>
      </c>
    </row>
    <row r="109" spans="1:10">
      <c r="A109" s="39">
        <v>61310</v>
      </c>
      <c r="B109" s="37" t="s">
        <v>24</v>
      </c>
      <c r="C109" s="37" t="s">
        <v>151</v>
      </c>
      <c r="D109" s="38" t="str">
        <f>VLOOKUP(B109, Mapping!$A:$B, 2, FALSE)</f>
        <v>中部</v>
      </c>
      <c r="E109" s="38" t="str">
        <f>IFERROR(VLOOKUP(A109, '113_Faraway'!$A:$C, 3,FALSE),"非偏遠")</f>
        <v>非偏遠</v>
      </c>
      <c r="F109" s="33">
        <f>VLOOKUP(A109, '111_Raw'!$B:$D,3,FALSE)</f>
        <v>1311</v>
      </c>
      <c r="G109" s="33">
        <f>VLOOKUP(A109, '113_Raw'!$B:$D,3,FALSE)</f>
        <v>807</v>
      </c>
      <c r="H109" s="35">
        <f t="shared" si="4"/>
        <v>-0.38400000000000001</v>
      </c>
      <c r="I109" s="38" t="str">
        <f t="shared" si="3"/>
        <v>明顯下降</v>
      </c>
      <c r="J109" s="32" t="b">
        <f t="shared" si="5"/>
        <v>1</v>
      </c>
    </row>
    <row r="110" spans="1:10">
      <c r="A110" s="39">
        <v>61311</v>
      </c>
      <c r="B110" s="37" t="s">
        <v>24</v>
      </c>
      <c r="C110" s="37" t="s">
        <v>152</v>
      </c>
      <c r="D110" s="38" t="str">
        <f>VLOOKUP(B110, Mapping!$A:$B, 2, FALSE)</f>
        <v>中部</v>
      </c>
      <c r="E110" s="38" t="str">
        <f>IFERROR(VLOOKUP(A110, '113_Faraway'!$A:$C, 3,FALSE),"非偏遠")</f>
        <v>非偏遠</v>
      </c>
      <c r="F110" s="33">
        <f>VLOOKUP(A110, '111_Raw'!$B:$D,3,FALSE)</f>
        <v>740</v>
      </c>
      <c r="G110" s="33">
        <f>VLOOKUP(A110, '113_Raw'!$B:$D,3,FALSE)</f>
        <v>250</v>
      </c>
      <c r="H110" s="35">
        <f t="shared" si="4"/>
        <v>-0.66200000000000003</v>
      </c>
      <c r="I110" s="38" t="str">
        <f t="shared" si="3"/>
        <v>明顯下降</v>
      </c>
      <c r="J110" s="32" t="b">
        <f t="shared" si="5"/>
        <v>1</v>
      </c>
    </row>
    <row r="111" spans="1:10">
      <c r="A111" s="39">
        <v>61313</v>
      </c>
      <c r="B111" s="37" t="s">
        <v>24</v>
      </c>
      <c r="C111" s="37" t="s">
        <v>153</v>
      </c>
      <c r="D111" s="38" t="str">
        <f>VLOOKUP(B111, Mapping!$A:$B, 2, FALSE)</f>
        <v>中部</v>
      </c>
      <c r="E111" s="38" t="str">
        <f>IFERROR(VLOOKUP(A111, '113_Faraway'!$A:$C, 3,FALSE),"非偏遠")</f>
        <v>非偏遠</v>
      </c>
      <c r="F111" s="33">
        <f>VLOOKUP(A111, '111_Raw'!$B:$D,3,FALSE)</f>
        <v>4363</v>
      </c>
      <c r="G111" s="33">
        <f>VLOOKUP(A111, '113_Raw'!$B:$D,3,FALSE)</f>
        <v>4234</v>
      </c>
      <c r="H111" s="35">
        <f t="shared" si="4"/>
        <v>-0.03</v>
      </c>
      <c r="I111" s="38" t="str">
        <f t="shared" si="3"/>
        <v>小幅下降</v>
      </c>
      <c r="J111" s="32" t="b">
        <f t="shared" si="5"/>
        <v>1</v>
      </c>
    </row>
    <row r="112" spans="1:10">
      <c r="A112" s="39">
        <v>61314</v>
      </c>
      <c r="B112" s="37" t="s">
        <v>24</v>
      </c>
      <c r="C112" s="37" t="s">
        <v>154</v>
      </c>
      <c r="D112" s="38" t="str">
        <f>VLOOKUP(B112, Mapping!$A:$B, 2, FALSE)</f>
        <v>中部</v>
      </c>
      <c r="E112" s="38" t="str">
        <f>IFERROR(VLOOKUP(A112, '113_Faraway'!$A:$C, 3,FALSE),"非偏遠")</f>
        <v>非偏遠</v>
      </c>
      <c r="F112" s="33">
        <f>VLOOKUP(A112, '111_Raw'!$B:$D,3,FALSE)</f>
        <v>5142</v>
      </c>
      <c r="G112" s="33">
        <f>VLOOKUP(A112, '113_Raw'!$B:$D,3,FALSE)</f>
        <v>5446</v>
      </c>
      <c r="H112" s="35">
        <f t="shared" si="4"/>
        <v>5.8999999999999997E-2</v>
      </c>
      <c r="I112" s="38" t="str">
        <f t="shared" si="3"/>
        <v>穩定或成長</v>
      </c>
      <c r="J112" s="32" t="b">
        <f t="shared" si="5"/>
        <v>0</v>
      </c>
    </row>
    <row r="113" spans="1:10">
      <c r="A113" s="39">
        <v>61315</v>
      </c>
      <c r="B113" s="37" t="s">
        <v>24</v>
      </c>
      <c r="C113" s="37" t="s">
        <v>155</v>
      </c>
      <c r="D113" s="38" t="str">
        <f>VLOOKUP(B113, Mapping!$A:$B, 2, FALSE)</f>
        <v>中部</v>
      </c>
      <c r="E113" s="38" t="str">
        <f>IFERROR(VLOOKUP(A113, '113_Faraway'!$A:$C, 3,FALSE),"非偏遠")</f>
        <v>非偏遠</v>
      </c>
      <c r="F113" s="33">
        <f>VLOOKUP(A113, '111_Raw'!$B:$D,3,FALSE)</f>
        <v>1050</v>
      </c>
      <c r="G113" s="33">
        <f>VLOOKUP(A113, '113_Raw'!$B:$D,3,FALSE)</f>
        <v>1061</v>
      </c>
      <c r="H113" s="35">
        <f t="shared" si="4"/>
        <v>0.01</v>
      </c>
      <c r="I113" s="38" t="str">
        <f t="shared" si="3"/>
        <v>穩定或成長</v>
      </c>
      <c r="J113" s="32" t="b">
        <f t="shared" si="5"/>
        <v>0</v>
      </c>
    </row>
    <row r="114" spans="1:10">
      <c r="A114" s="39">
        <v>61316</v>
      </c>
      <c r="B114" s="37" t="s">
        <v>24</v>
      </c>
      <c r="C114" s="37" t="s">
        <v>156</v>
      </c>
      <c r="D114" s="38" t="str">
        <f>VLOOKUP(B114, Mapping!$A:$B, 2, FALSE)</f>
        <v>中部</v>
      </c>
      <c r="E114" s="38" t="str">
        <f>IFERROR(VLOOKUP(A114, '113_Faraway'!$A:$C, 3,FALSE),"非偏遠")</f>
        <v>非偏遠</v>
      </c>
      <c r="F114" s="33">
        <f>VLOOKUP(A114, '111_Raw'!$B:$D,3,FALSE)</f>
        <v>1920</v>
      </c>
      <c r="G114" s="33">
        <f>VLOOKUP(A114, '113_Raw'!$B:$D,3,FALSE)</f>
        <v>2292</v>
      </c>
      <c r="H114" s="35">
        <f t="shared" si="4"/>
        <v>0.19400000000000001</v>
      </c>
      <c r="I114" s="38" t="str">
        <f t="shared" si="3"/>
        <v>穩定或成長</v>
      </c>
      <c r="J114" s="32" t="b">
        <f t="shared" si="5"/>
        <v>0</v>
      </c>
    </row>
    <row r="115" spans="1:10">
      <c r="A115" s="39">
        <v>61317</v>
      </c>
      <c r="B115" s="37" t="s">
        <v>24</v>
      </c>
      <c r="C115" s="37" t="s">
        <v>157</v>
      </c>
      <c r="D115" s="38" t="str">
        <f>VLOOKUP(B115, Mapping!$A:$B, 2, FALSE)</f>
        <v>中部</v>
      </c>
      <c r="E115" s="38" t="str">
        <f>IFERROR(VLOOKUP(A115, '113_Faraway'!$A:$C, 3,FALSE),"非偏遠")</f>
        <v>非偏遠</v>
      </c>
      <c r="F115" s="33">
        <f>VLOOKUP(A115, '111_Raw'!$B:$D,3,FALSE)</f>
        <v>1519</v>
      </c>
      <c r="G115" s="33">
        <f>VLOOKUP(A115, '113_Raw'!$B:$D,3,FALSE)</f>
        <v>1576</v>
      </c>
      <c r="H115" s="35">
        <f t="shared" si="4"/>
        <v>3.7999999999999999E-2</v>
      </c>
      <c r="I115" s="38" t="str">
        <f t="shared" si="3"/>
        <v>穩定或成長</v>
      </c>
      <c r="J115" s="32" t="b">
        <f t="shared" si="5"/>
        <v>0</v>
      </c>
    </row>
    <row r="116" spans="1:10">
      <c r="A116" s="39">
        <v>61318</v>
      </c>
      <c r="B116" s="37" t="s">
        <v>24</v>
      </c>
      <c r="C116" s="37" t="s">
        <v>158</v>
      </c>
      <c r="D116" s="38" t="str">
        <f>VLOOKUP(B116, Mapping!$A:$B, 2, FALSE)</f>
        <v>中部</v>
      </c>
      <c r="E116" s="38" t="str">
        <f>IFERROR(VLOOKUP(A116, '113_Faraway'!$A:$C, 3,FALSE),"非偏遠")</f>
        <v>非偏遠</v>
      </c>
      <c r="F116" s="33">
        <f>VLOOKUP(A116, '111_Raw'!$B:$D,3,FALSE)</f>
        <v>2206</v>
      </c>
      <c r="G116" s="33">
        <f>VLOOKUP(A116, '113_Raw'!$B:$D,3,FALSE)</f>
        <v>2218</v>
      </c>
      <c r="H116" s="35">
        <f t="shared" si="4"/>
        <v>5.0000000000000001E-3</v>
      </c>
      <c r="I116" s="38" t="str">
        <f t="shared" si="3"/>
        <v>穩定或成長</v>
      </c>
      <c r="J116" s="32" t="b">
        <f t="shared" si="5"/>
        <v>0</v>
      </c>
    </row>
    <row r="117" spans="1:10">
      <c r="A117" s="39">
        <v>61319</v>
      </c>
      <c r="B117" s="37" t="s">
        <v>24</v>
      </c>
      <c r="C117" s="37" t="s">
        <v>159</v>
      </c>
      <c r="D117" s="38" t="str">
        <f>VLOOKUP(B117, Mapping!$A:$B, 2, FALSE)</f>
        <v>中部</v>
      </c>
      <c r="E117" s="38" t="str">
        <f>IFERROR(VLOOKUP(A117, '113_Faraway'!$A:$C, 3,FALSE),"非偏遠")</f>
        <v>非偏遠</v>
      </c>
      <c r="F117" s="33">
        <f>VLOOKUP(A117, '111_Raw'!$B:$D,3,FALSE)</f>
        <v>370</v>
      </c>
      <c r="G117" s="33">
        <f>VLOOKUP(A117, '113_Raw'!$B:$D,3,FALSE)</f>
        <v>451</v>
      </c>
      <c r="H117" s="35">
        <f t="shared" si="4"/>
        <v>0.219</v>
      </c>
      <c r="I117" s="38" t="str">
        <f t="shared" si="3"/>
        <v>穩定或成長</v>
      </c>
      <c r="J117" s="32" t="b">
        <f t="shared" si="5"/>
        <v>0</v>
      </c>
    </row>
    <row r="118" spans="1:10">
      <c r="A118" s="39">
        <v>61321</v>
      </c>
      <c r="B118" s="37" t="s">
        <v>24</v>
      </c>
      <c r="C118" s="37" t="s">
        <v>160</v>
      </c>
      <c r="D118" s="38" t="str">
        <f>VLOOKUP(B118, Mapping!$A:$B, 2, FALSE)</f>
        <v>中部</v>
      </c>
      <c r="E118" s="38" t="str">
        <f>IFERROR(VLOOKUP(A118, '113_Faraway'!$A:$C, 3,FALSE),"非偏遠")</f>
        <v>非偏遠</v>
      </c>
      <c r="F118" s="33">
        <f>VLOOKUP(A118, '111_Raw'!$B:$D,3,FALSE)</f>
        <v>1806</v>
      </c>
      <c r="G118" s="33">
        <f>VLOOKUP(A118, '113_Raw'!$B:$D,3,FALSE)</f>
        <v>2121</v>
      </c>
      <c r="H118" s="35">
        <f t="shared" si="4"/>
        <v>0.17399999999999999</v>
      </c>
      <c r="I118" s="38" t="str">
        <f t="shared" si="3"/>
        <v>穩定或成長</v>
      </c>
      <c r="J118" s="32" t="b">
        <f t="shared" si="5"/>
        <v>0</v>
      </c>
    </row>
    <row r="119" spans="1:10">
      <c r="A119" s="39">
        <v>61322</v>
      </c>
      <c r="B119" s="37" t="s">
        <v>24</v>
      </c>
      <c r="C119" s="37" t="s">
        <v>161</v>
      </c>
      <c r="D119" s="38" t="str">
        <f>VLOOKUP(B119, Mapping!$A:$B, 2, FALSE)</f>
        <v>中部</v>
      </c>
      <c r="E119" s="38" t="str">
        <f>IFERROR(VLOOKUP(A119, '113_Faraway'!$A:$C, 3,FALSE),"非偏遠")</f>
        <v>非偏遠</v>
      </c>
      <c r="F119" s="33">
        <f>VLOOKUP(A119, '111_Raw'!$B:$D,3,FALSE)</f>
        <v>24</v>
      </c>
      <c r="G119" s="33">
        <f>VLOOKUP(A119, '113_Raw'!$B:$D,3,FALSE)</f>
        <v>29</v>
      </c>
      <c r="H119" s="35">
        <f t="shared" si="4"/>
        <v>0.20799999999999999</v>
      </c>
      <c r="I119" s="38" t="str">
        <f t="shared" si="3"/>
        <v>穩定或成長</v>
      </c>
      <c r="J119" s="32" t="b">
        <f t="shared" si="5"/>
        <v>0</v>
      </c>
    </row>
    <row r="120" spans="1:10">
      <c r="A120" s="39">
        <v>63303</v>
      </c>
      <c r="B120" s="37" t="s">
        <v>24</v>
      </c>
      <c r="C120" s="37" t="s">
        <v>162</v>
      </c>
      <c r="D120" s="38" t="str">
        <f>VLOOKUP(B120, Mapping!$A:$B, 2, FALSE)</f>
        <v>中部</v>
      </c>
      <c r="E120" s="38" t="str">
        <f>IFERROR(VLOOKUP(A120, '113_Faraway'!$A:$C, 3,FALSE),"非偏遠")</f>
        <v>非偏遠</v>
      </c>
      <c r="F120" s="33">
        <f>VLOOKUP(A120, '111_Raw'!$B:$D,3,FALSE)</f>
        <v>1406</v>
      </c>
      <c r="G120" s="33">
        <f>VLOOKUP(A120, '113_Raw'!$B:$D,3,FALSE)</f>
        <v>1406</v>
      </c>
      <c r="H120" s="35">
        <f t="shared" si="4"/>
        <v>0</v>
      </c>
      <c r="I120" s="38" t="str">
        <f t="shared" si="3"/>
        <v>穩定或成長</v>
      </c>
      <c r="J120" s="32" t="b">
        <f t="shared" si="5"/>
        <v>0</v>
      </c>
    </row>
    <row r="121" spans="1:10">
      <c r="A121" s="39">
        <v>63305</v>
      </c>
      <c r="B121" s="37" t="s">
        <v>24</v>
      </c>
      <c r="C121" s="37" t="s">
        <v>82</v>
      </c>
      <c r="D121" s="38" t="str">
        <f>VLOOKUP(B121, Mapping!$A:$B, 2, FALSE)</f>
        <v>中部</v>
      </c>
      <c r="E121" s="38" t="str">
        <f>IFERROR(VLOOKUP(A121, '113_Faraway'!$A:$C, 3,FALSE),"非偏遠")</f>
        <v>非偏遠</v>
      </c>
      <c r="F121" s="33">
        <f>VLOOKUP(A121, '111_Raw'!$B:$D,3,FALSE)</f>
        <v>1427</v>
      </c>
      <c r="G121" s="33">
        <f>VLOOKUP(A121, '113_Raw'!$B:$D,3,FALSE)</f>
        <v>1422</v>
      </c>
      <c r="H121" s="35">
        <f t="shared" si="4"/>
        <v>-4.0000000000000001E-3</v>
      </c>
      <c r="I121" s="38" t="str">
        <f t="shared" si="3"/>
        <v>小幅下降</v>
      </c>
      <c r="J121" s="32" t="b">
        <f t="shared" si="5"/>
        <v>0</v>
      </c>
    </row>
    <row r="122" spans="1:10">
      <c r="A122" s="39">
        <v>63312</v>
      </c>
      <c r="B122" s="37" t="s">
        <v>24</v>
      </c>
      <c r="C122" s="37" t="s">
        <v>163</v>
      </c>
      <c r="D122" s="38" t="str">
        <f>VLOOKUP(B122, Mapping!$A:$B, 2, FALSE)</f>
        <v>中部</v>
      </c>
      <c r="E122" s="38" t="str">
        <f>IFERROR(VLOOKUP(A122, '113_Faraway'!$A:$C, 3,FALSE),"非偏遠")</f>
        <v>非偏遠</v>
      </c>
      <c r="F122" s="33">
        <f>VLOOKUP(A122, '111_Raw'!$B:$D,3,FALSE)</f>
        <v>1492</v>
      </c>
      <c r="G122" s="33">
        <f>VLOOKUP(A122, '113_Raw'!$B:$D,3,FALSE)</f>
        <v>1511</v>
      </c>
      <c r="H122" s="35">
        <f t="shared" si="4"/>
        <v>1.2999999999999999E-2</v>
      </c>
      <c r="I122" s="38" t="str">
        <f t="shared" si="3"/>
        <v>穩定或成長</v>
      </c>
      <c r="J122" s="32" t="b">
        <f t="shared" si="5"/>
        <v>0</v>
      </c>
    </row>
    <row r="123" spans="1:10">
      <c r="A123" s="39">
        <v>64308</v>
      </c>
      <c r="B123" s="37" t="s">
        <v>24</v>
      </c>
      <c r="C123" s="37" t="s">
        <v>164</v>
      </c>
      <c r="D123" s="38" t="str">
        <f>VLOOKUP(B123, Mapping!$A:$B, 2, FALSE)</f>
        <v>中部</v>
      </c>
      <c r="E123" s="38" t="str">
        <f>IFERROR(VLOOKUP(A123, '113_Faraway'!$A:$C, 3,FALSE),"非偏遠")</f>
        <v>非偏遠</v>
      </c>
      <c r="F123" s="33">
        <f>VLOOKUP(A123, '111_Raw'!$B:$D,3,FALSE)</f>
        <v>911</v>
      </c>
      <c r="G123" s="33">
        <f>VLOOKUP(A123, '113_Raw'!$B:$D,3,FALSE)</f>
        <v>918</v>
      </c>
      <c r="H123" s="35">
        <f t="shared" si="4"/>
        <v>8.0000000000000002E-3</v>
      </c>
      <c r="I123" s="38" t="str">
        <f t="shared" si="3"/>
        <v>穩定或成長</v>
      </c>
      <c r="J123" s="32" t="b">
        <f t="shared" si="5"/>
        <v>0</v>
      </c>
    </row>
    <row r="124" spans="1:10">
      <c r="A124" s="39">
        <v>64324</v>
      </c>
      <c r="B124" s="37" t="s">
        <v>24</v>
      </c>
      <c r="C124" s="37" t="s">
        <v>165</v>
      </c>
      <c r="D124" s="38" t="str">
        <f>VLOOKUP(B124, Mapping!$A:$B, 2, FALSE)</f>
        <v>中部</v>
      </c>
      <c r="E124" s="38" t="str">
        <f>IFERROR(VLOOKUP(A124, '113_Faraway'!$A:$C, 3,FALSE),"非偏遠")</f>
        <v>非偏遠</v>
      </c>
      <c r="F124" s="33">
        <f>VLOOKUP(A124, '111_Raw'!$B:$D,3,FALSE)</f>
        <v>733</v>
      </c>
      <c r="G124" s="33">
        <f>VLOOKUP(A124, '113_Raw'!$B:$D,3,FALSE)</f>
        <v>749</v>
      </c>
      <c r="H124" s="35">
        <f t="shared" si="4"/>
        <v>2.1999999999999999E-2</v>
      </c>
      <c r="I124" s="38" t="str">
        <f t="shared" si="3"/>
        <v>穩定或成長</v>
      </c>
      <c r="J124" s="32" t="b">
        <f t="shared" si="5"/>
        <v>0</v>
      </c>
    </row>
    <row r="125" spans="1:10">
      <c r="A125" s="39">
        <v>64328</v>
      </c>
      <c r="B125" s="37" t="s">
        <v>24</v>
      </c>
      <c r="C125" s="37" t="s">
        <v>166</v>
      </c>
      <c r="D125" s="38" t="str">
        <f>VLOOKUP(B125, Mapping!$A:$B, 2, FALSE)</f>
        <v>中部</v>
      </c>
      <c r="E125" s="38" t="str">
        <f>IFERROR(VLOOKUP(A125, '113_Faraway'!$A:$C, 3,FALSE),"非偏遠")</f>
        <v>非偏遠</v>
      </c>
      <c r="F125" s="33">
        <f>VLOOKUP(A125, '111_Raw'!$B:$D,3,FALSE)</f>
        <v>853</v>
      </c>
      <c r="G125" s="33">
        <f>VLOOKUP(A125, '113_Raw'!$B:$D,3,FALSE)</f>
        <v>883</v>
      </c>
      <c r="H125" s="35">
        <f t="shared" si="4"/>
        <v>3.5000000000000003E-2</v>
      </c>
      <c r="I125" s="38" t="str">
        <f t="shared" si="3"/>
        <v>穩定或成長</v>
      </c>
      <c r="J125" s="32" t="b">
        <f t="shared" si="5"/>
        <v>0</v>
      </c>
    </row>
    <row r="126" spans="1:10">
      <c r="A126" s="39">
        <v>64336</v>
      </c>
      <c r="B126" s="37" t="s">
        <v>24</v>
      </c>
      <c r="C126" s="37" t="s">
        <v>167</v>
      </c>
      <c r="D126" s="38" t="str">
        <f>VLOOKUP(B126, Mapping!$A:$B, 2, FALSE)</f>
        <v>中部</v>
      </c>
      <c r="E126" s="38" t="str">
        <f>IFERROR(VLOOKUP(A126, '113_Faraway'!$A:$C, 3,FALSE),"非偏遠")</f>
        <v>非偏遠</v>
      </c>
      <c r="F126" s="33">
        <f>VLOOKUP(A126, '111_Raw'!$B:$D,3,FALSE)</f>
        <v>763</v>
      </c>
      <c r="G126" s="33">
        <f>VLOOKUP(A126, '113_Raw'!$B:$D,3,FALSE)</f>
        <v>772</v>
      </c>
      <c r="H126" s="35">
        <f t="shared" si="4"/>
        <v>1.2E-2</v>
      </c>
      <c r="I126" s="38" t="str">
        <f t="shared" si="3"/>
        <v>穩定或成長</v>
      </c>
      <c r="J126" s="32" t="b">
        <f t="shared" si="5"/>
        <v>0</v>
      </c>
    </row>
    <row r="127" spans="1:10">
      <c r="A127" s="39">
        <v>64342</v>
      </c>
      <c r="B127" s="37" t="s">
        <v>24</v>
      </c>
      <c r="C127" s="37" t="s">
        <v>168</v>
      </c>
      <c r="D127" s="38" t="str">
        <f>VLOOKUP(B127, Mapping!$A:$B, 2, FALSE)</f>
        <v>中部</v>
      </c>
      <c r="E127" s="38" t="str">
        <f>IFERROR(VLOOKUP(A127, '113_Faraway'!$A:$C, 3,FALSE),"非偏遠")</f>
        <v>非偏遠</v>
      </c>
      <c r="F127" s="33">
        <f>VLOOKUP(A127, '111_Raw'!$B:$D,3,FALSE)</f>
        <v>680</v>
      </c>
      <c r="G127" s="33">
        <f>VLOOKUP(A127, '113_Raw'!$B:$D,3,FALSE)</f>
        <v>697</v>
      </c>
      <c r="H127" s="35">
        <f t="shared" si="4"/>
        <v>2.5000000000000001E-2</v>
      </c>
      <c r="I127" s="38" t="str">
        <f t="shared" si="3"/>
        <v>穩定或成長</v>
      </c>
      <c r="J127" s="32" t="b">
        <f t="shared" si="5"/>
        <v>0</v>
      </c>
    </row>
    <row r="128" spans="1:10">
      <c r="A128" s="39">
        <v>64350</v>
      </c>
      <c r="B128" s="37" t="s">
        <v>24</v>
      </c>
      <c r="C128" s="37" t="s">
        <v>169</v>
      </c>
      <c r="D128" s="38" t="str">
        <f>VLOOKUP(B128, Mapping!$A:$B, 2, FALSE)</f>
        <v>中部</v>
      </c>
      <c r="E128" s="38" t="str">
        <f>IFERROR(VLOOKUP(A128, '113_Faraway'!$A:$C, 3,FALSE),"非偏遠")</f>
        <v>非偏遠</v>
      </c>
      <c r="F128" s="33">
        <f>VLOOKUP(A128, '111_Raw'!$B:$D,3,FALSE)</f>
        <v>510</v>
      </c>
      <c r="G128" s="33">
        <f>VLOOKUP(A128, '113_Raw'!$B:$D,3,FALSE)</f>
        <v>491</v>
      </c>
      <c r="H128" s="35">
        <f t="shared" si="4"/>
        <v>-3.6999999999999998E-2</v>
      </c>
      <c r="I128" s="38" t="str">
        <f t="shared" ref="I128:I190" si="6">IF(H128&gt;=0,"穩定或成長",IF(H128&gt;-0.05,"小幅下降","明顯下降"))</f>
        <v>小幅下降</v>
      </c>
      <c r="J128" s="32" t="b">
        <f t="shared" si="5"/>
        <v>1</v>
      </c>
    </row>
    <row r="129" spans="1:10">
      <c r="A129" s="39">
        <v>70301</v>
      </c>
      <c r="B129" s="37" t="s">
        <v>25</v>
      </c>
      <c r="C129" s="37" t="s">
        <v>170</v>
      </c>
      <c r="D129" s="38" t="str">
        <f>VLOOKUP(B129, Mapping!$A:$B, 2, FALSE)</f>
        <v>中部</v>
      </c>
      <c r="E129" s="38" t="str">
        <f>IFERROR(VLOOKUP(A129, '113_Faraway'!$A:$C, 3,FALSE),"非偏遠")</f>
        <v>非偏遠</v>
      </c>
      <c r="F129" s="33">
        <f>VLOOKUP(A129, '111_Raw'!$B:$D,3,FALSE)</f>
        <v>1554</v>
      </c>
      <c r="G129" s="33">
        <f>VLOOKUP(A129, '113_Raw'!$B:$D,3,FALSE)</f>
        <v>1560</v>
      </c>
      <c r="H129" s="35">
        <f t="shared" si="4"/>
        <v>4.0000000000000001E-3</v>
      </c>
      <c r="I129" s="38" t="str">
        <f t="shared" si="6"/>
        <v>穩定或成長</v>
      </c>
      <c r="J129" s="32" t="b">
        <f t="shared" si="5"/>
        <v>0</v>
      </c>
    </row>
    <row r="130" spans="1:10">
      <c r="A130" s="39">
        <v>70304</v>
      </c>
      <c r="B130" s="37" t="s">
        <v>25</v>
      </c>
      <c r="C130" s="37" t="s">
        <v>171</v>
      </c>
      <c r="D130" s="38" t="str">
        <f>VLOOKUP(B130, Mapping!$A:$B, 2, FALSE)</f>
        <v>中部</v>
      </c>
      <c r="E130" s="38" t="str">
        <f>IFERROR(VLOOKUP(A130, '113_Faraway'!$A:$C, 3,FALSE),"非偏遠")</f>
        <v>非偏遠</v>
      </c>
      <c r="F130" s="33">
        <f>VLOOKUP(A130, '111_Raw'!$B:$D,3,FALSE)</f>
        <v>1737</v>
      </c>
      <c r="G130" s="33">
        <f>VLOOKUP(A130, '113_Raw'!$B:$D,3,FALSE)</f>
        <v>1730</v>
      </c>
      <c r="H130" s="35">
        <f t="shared" si="4"/>
        <v>-4.0000000000000001E-3</v>
      </c>
      <c r="I130" s="38" t="str">
        <f t="shared" si="6"/>
        <v>小幅下降</v>
      </c>
      <c r="J130" s="32" t="b">
        <f t="shared" si="5"/>
        <v>0</v>
      </c>
    </row>
    <row r="131" spans="1:10">
      <c r="A131" s="39">
        <v>70307</v>
      </c>
      <c r="B131" s="37" t="s">
        <v>25</v>
      </c>
      <c r="C131" s="37" t="s">
        <v>172</v>
      </c>
      <c r="D131" s="38" t="str">
        <f>VLOOKUP(B131, Mapping!$A:$B, 2, FALSE)</f>
        <v>中部</v>
      </c>
      <c r="E131" s="38" t="str">
        <f>IFERROR(VLOOKUP(A131, '113_Faraway'!$A:$C, 3,FALSE),"非偏遠")</f>
        <v>非偏遠</v>
      </c>
      <c r="F131" s="33">
        <f>VLOOKUP(A131, '111_Raw'!$B:$D,3,FALSE)</f>
        <v>2124</v>
      </c>
      <c r="G131" s="33">
        <f>VLOOKUP(A131, '113_Raw'!$B:$D,3,FALSE)</f>
        <v>2090</v>
      </c>
      <c r="H131" s="35">
        <f t="shared" ref="H131:H194" si="7">ROUND((G131-F131)/F131,3)</f>
        <v>-1.6E-2</v>
      </c>
      <c r="I131" s="38" t="str">
        <f t="shared" si="6"/>
        <v>小幅下降</v>
      </c>
      <c r="J131" s="32" t="b">
        <f t="shared" ref="J131:J194" si="8">IF(H131 &lt; $K$2, TRUE, FALSE)</f>
        <v>1</v>
      </c>
    </row>
    <row r="132" spans="1:10">
      <c r="A132" s="39">
        <v>70316</v>
      </c>
      <c r="B132" s="37" t="s">
        <v>25</v>
      </c>
      <c r="C132" s="37" t="s">
        <v>173</v>
      </c>
      <c r="D132" s="38" t="str">
        <f>VLOOKUP(B132, Mapping!$A:$B, 2, FALSE)</f>
        <v>中部</v>
      </c>
      <c r="E132" s="38" t="str">
        <f>IFERROR(VLOOKUP(A132, '113_Faraway'!$A:$C, 3,FALSE),"非偏遠")</f>
        <v>非偏遠</v>
      </c>
      <c r="F132" s="33">
        <f>VLOOKUP(A132, '111_Raw'!$B:$D,3,FALSE)</f>
        <v>1450</v>
      </c>
      <c r="G132" s="33">
        <f>VLOOKUP(A132, '113_Raw'!$B:$D,3,FALSE)</f>
        <v>1332</v>
      </c>
      <c r="H132" s="35">
        <f t="shared" si="7"/>
        <v>-8.1000000000000003E-2</v>
      </c>
      <c r="I132" s="38" t="str">
        <f t="shared" si="6"/>
        <v>明顯下降</v>
      </c>
      <c r="J132" s="32" t="b">
        <f t="shared" si="8"/>
        <v>1</v>
      </c>
    </row>
    <row r="133" spans="1:10">
      <c r="A133" s="39">
        <v>70319</v>
      </c>
      <c r="B133" s="37" t="s">
        <v>25</v>
      </c>
      <c r="C133" s="37" t="s">
        <v>174</v>
      </c>
      <c r="D133" s="38" t="str">
        <f>VLOOKUP(B133, Mapping!$A:$B, 2, FALSE)</f>
        <v>中部</v>
      </c>
      <c r="E133" s="38" t="str">
        <f>IFERROR(VLOOKUP(A133, '113_Faraway'!$A:$C, 3,FALSE),"非偏遠")</f>
        <v>非偏遠</v>
      </c>
      <c r="F133" s="33">
        <f>VLOOKUP(A133, '111_Raw'!$B:$D,3,FALSE)</f>
        <v>1552</v>
      </c>
      <c r="G133" s="33">
        <f>VLOOKUP(A133, '113_Raw'!$B:$D,3,FALSE)</f>
        <v>1550</v>
      </c>
      <c r="H133" s="35">
        <f t="shared" si="7"/>
        <v>-1E-3</v>
      </c>
      <c r="I133" s="38" t="str">
        <f t="shared" si="6"/>
        <v>小幅下降</v>
      </c>
      <c r="J133" s="32" t="b">
        <f t="shared" si="8"/>
        <v>0</v>
      </c>
    </row>
    <row r="134" spans="1:10">
      <c r="A134" s="39">
        <v>71311</v>
      </c>
      <c r="B134" s="37" t="s">
        <v>25</v>
      </c>
      <c r="C134" s="37" t="s">
        <v>175</v>
      </c>
      <c r="D134" s="38" t="str">
        <f>VLOOKUP(B134, Mapping!$A:$B, 2, FALSE)</f>
        <v>中部</v>
      </c>
      <c r="E134" s="38" t="str">
        <f>IFERROR(VLOOKUP(A134, '113_Faraway'!$A:$C, 3,FALSE),"非偏遠")</f>
        <v>非偏遠</v>
      </c>
      <c r="F134" s="33">
        <f>VLOOKUP(A134, '111_Raw'!$B:$D,3,FALSE)</f>
        <v>1408</v>
      </c>
      <c r="G134" s="33">
        <f>VLOOKUP(A134, '113_Raw'!$B:$D,3,FALSE)</f>
        <v>1408</v>
      </c>
      <c r="H134" s="35">
        <f t="shared" si="7"/>
        <v>0</v>
      </c>
      <c r="I134" s="38" t="str">
        <f t="shared" si="6"/>
        <v>穩定或成長</v>
      </c>
      <c r="J134" s="32" t="b">
        <f t="shared" si="8"/>
        <v>0</v>
      </c>
    </row>
    <row r="135" spans="1:10">
      <c r="A135" s="39">
        <v>71317</v>
      </c>
      <c r="B135" s="37" t="s">
        <v>25</v>
      </c>
      <c r="C135" s="37" t="s">
        <v>176</v>
      </c>
      <c r="D135" s="38" t="str">
        <f>VLOOKUP(B135, Mapping!$A:$B, 2, FALSE)</f>
        <v>中部</v>
      </c>
      <c r="E135" s="38" t="str">
        <f>IFERROR(VLOOKUP(A135, '113_Faraway'!$A:$C, 3,FALSE),"非偏遠")</f>
        <v>非偏遠</v>
      </c>
      <c r="F135" s="33">
        <f>VLOOKUP(A135, '111_Raw'!$B:$D,3,FALSE)</f>
        <v>618</v>
      </c>
      <c r="G135" s="33">
        <f>VLOOKUP(A135, '113_Raw'!$B:$D,3,FALSE)</f>
        <v>427</v>
      </c>
      <c r="H135" s="35">
        <f t="shared" si="7"/>
        <v>-0.309</v>
      </c>
      <c r="I135" s="38" t="str">
        <f t="shared" si="6"/>
        <v>明顯下降</v>
      </c>
      <c r="J135" s="32" t="b">
        <f t="shared" si="8"/>
        <v>1</v>
      </c>
    </row>
    <row r="136" spans="1:10">
      <c r="A136" s="39">
        <v>71318</v>
      </c>
      <c r="B136" s="37" t="s">
        <v>25</v>
      </c>
      <c r="C136" s="37" t="s">
        <v>177</v>
      </c>
      <c r="D136" s="38" t="str">
        <f>VLOOKUP(B136, Mapping!$A:$B, 2, FALSE)</f>
        <v>中部</v>
      </c>
      <c r="E136" s="38" t="str">
        <f>IFERROR(VLOOKUP(A136, '113_Faraway'!$A:$C, 3,FALSE),"非偏遠")</f>
        <v>非偏遠</v>
      </c>
      <c r="F136" s="33">
        <f>VLOOKUP(A136, '111_Raw'!$B:$D,3,FALSE)</f>
        <v>382</v>
      </c>
      <c r="G136" s="33">
        <f>VLOOKUP(A136, '113_Raw'!$B:$D,3,FALSE)</f>
        <v>252</v>
      </c>
      <c r="H136" s="35">
        <f t="shared" si="7"/>
        <v>-0.34</v>
      </c>
      <c r="I136" s="38" t="str">
        <f t="shared" si="6"/>
        <v>明顯下降</v>
      </c>
      <c r="J136" s="32" t="b">
        <f t="shared" si="8"/>
        <v>1</v>
      </c>
    </row>
    <row r="137" spans="1:10">
      <c r="A137" s="39">
        <v>74308</v>
      </c>
      <c r="B137" s="37" t="s">
        <v>25</v>
      </c>
      <c r="C137" s="37" t="s">
        <v>178</v>
      </c>
      <c r="D137" s="38" t="str">
        <f>VLOOKUP(B137, Mapping!$A:$B, 2, FALSE)</f>
        <v>中部</v>
      </c>
      <c r="E137" s="38" t="str">
        <f>IFERROR(VLOOKUP(A137, '113_Faraway'!$A:$C, 3,FALSE),"非偏遠")</f>
        <v>非偏遠</v>
      </c>
      <c r="F137" s="33">
        <f>VLOOKUP(A137, '111_Raw'!$B:$D,3,FALSE)</f>
        <v>717</v>
      </c>
      <c r="G137" s="33">
        <f>VLOOKUP(A137, '113_Raw'!$B:$D,3,FALSE)</f>
        <v>678</v>
      </c>
      <c r="H137" s="35">
        <f t="shared" si="7"/>
        <v>-5.3999999999999999E-2</v>
      </c>
      <c r="I137" s="38" t="str">
        <f t="shared" si="6"/>
        <v>明顯下降</v>
      </c>
      <c r="J137" s="32" t="b">
        <f t="shared" si="8"/>
        <v>1</v>
      </c>
    </row>
    <row r="138" spans="1:10">
      <c r="A138" s="39">
        <v>74313</v>
      </c>
      <c r="B138" s="37" t="s">
        <v>25</v>
      </c>
      <c r="C138" s="37" t="s">
        <v>179</v>
      </c>
      <c r="D138" s="38" t="str">
        <f>VLOOKUP(B138, Mapping!$A:$B, 2, FALSE)</f>
        <v>中部</v>
      </c>
      <c r="E138" s="38" t="str">
        <f>IFERROR(VLOOKUP(A138, '113_Faraway'!$A:$C, 3,FALSE),"非偏遠")</f>
        <v>非偏遠</v>
      </c>
      <c r="F138" s="33">
        <f>VLOOKUP(A138, '111_Raw'!$B:$D,3,FALSE)</f>
        <v>369</v>
      </c>
      <c r="G138" s="33">
        <f>VLOOKUP(A138, '113_Raw'!$B:$D,3,FALSE)</f>
        <v>304</v>
      </c>
      <c r="H138" s="35">
        <f t="shared" si="7"/>
        <v>-0.17599999999999999</v>
      </c>
      <c r="I138" s="38" t="str">
        <f t="shared" si="6"/>
        <v>明顯下降</v>
      </c>
      <c r="J138" s="32" t="b">
        <f t="shared" si="8"/>
        <v>1</v>
      </c>
    </row>
    <row r="139" spans="1:10">
      <c r="A139" s="39">
        <v>74323</v>
      </c>
      <c r="B139" s="37" t="s">
        <v>25</v>
      </c>
      <c r="C139" s="37" t="s">
        <v>180</v>
      </c>
      <c r="D139" s="38" t="str">
        <f>VLOOKUP(B139, Mapping!$A:$B, 2, FALSE)</f>
        <v>中部</v>
      </c>
      <c r="E139" s="38" t="str">
        <f>IFERROR(VLOOKUP(A139, '113_Faraway'!$A:$C, 3,FALSE),"非偏遠")</f>
        <v>非偏遠</v>
      </c>
      <c r="F139" s="33">
        <f>VLOOKUP(A139, '111_Raw'!$B:$D,3,FALSE)</f>
        <v>576</v>
      </c>
      <c r="G139" s="33">
        <f>VLOOKUP(A139, '113_Raw'!$B:$D,3,FALSE)</f>
        <v>572</v>
      </c>
      <c r="H139" s="35">
        <f t="shared" si="7"/>
        <v>-7.0000000000000001E-3</v>
      </c>
      <c r="I139" s="38" t="str">
        <f t="shared" si="6"/>
        <v>小幅下降</v>
      </c>
      <c r="J139" s="32" t="b">
        <f t="shared" si="8"/>
        <v>0</v>
      </c>
    </row>
    <row r="140" spans="1:10">
      <c r="A140" s="39">
        <v>74328</v>
      </c>
      <c r="B140" s="37" t="s">
        <v>25</v>
      </c>
      <c r="C140" s="37" t="s">
        <v>181</v>
      </c>
      <c r="D140" s="38" t="str">
        <f>VLOOKUP(B140, Mapping!$A:$B, 2, FALSE)</f>
        <v>中部</v>
      </c>
      <c r="E140" s="38" t="str">
        <f>IFERROR(VLOOKUP(A140, '113_Faraway'!$A:$C, 3,FALSE),"非偏遠")</f>
        <v>非偏遠</v>
      </c>
      <c r="F140" s="33">
        <f>VLOOKUP(A140, '111_Raw'!$B:$D,3,FALSE)</f>
        <v>294</v>
      </c>
      <c r="G140" s="33">
        <f>VLOOKUP(A140, '113_Raw'!$B:$D,3,FALSE)</f>
        <v>255</v>
      </c>
      <c r="H140" s="35">
        <f t="shared" si="7"/>
        <v>-0.13300000000000001</v>
      </c>
      <c r="I140" s="38" t="str">
        <f t="shared" si="6"/>
        <v>明顯下降</v>
      </c>
      <c r="J140" s="32" t="b">
        <f t="shared" si="8"/>
        <v>1</v>
      </c>
    </row>
    <row r="141" spans="1:10">
      <c r="A141" s="39">
        <v>74339</v>
      </c>
      <c r="B141" s="37" t="s">
        <v>25</v>
      </c>
      <c r="C141" s="37" t="s">
        <v>182</v>
      </c>
      <c r="D141" s="38" t="str">
        <f>VLOOKUP(B141, Mapping!$A:$B, 2, FALSE)</f>
        <v>中部</v>
      </c>
      <c r="E141" s="38" t="str">
        <f>IFERROR(VLOOKUP(A141, '113_Faraway'!$A:$C, 3,FALSE),"非偏遠")</f>
        <v>非偏遠</v>
      </c>
      <c r="F141" s="33">
        <f>VLOOKUP(A141, '111_Raw'!$B:$D,3,FALSE)</f>
        <v>367</v>
      </c>
      <c r="G141" s="33">
        <f>VLOOKUP(A141, '113_Raw'!$B:$D,3,FALSE)</f>
        <v>358</v>
      </c>
      <c r="H141" s="35">
        <f t="shared" si="7"/>
        <v>-2.5000000000000001E-2</v>
      </c>
      <c r="I141" s="38" t="str">
        <f t="shared" si="6"/>
        <v>小幅下降</v>
      </c>
      <c r="J141" s="32" t="b">
        <f t="shared" si="8"/>
        <v>1</v>
      </c>
    </row>
    <row r="142" spans="1:10">
      <c r="A142" s="39">
        <v>80302</v>
      </c>
      <c r="B142" s="37" t="s">
        <v>26</v>
      </c>
      <c r="C142" s="37" t="s">
        <v>183</v>
      </c>
      <c r="D142" s="38" t="str">
        <f>VLOOKUP(B142, Mapping!$A:$B, 2, FALSE)</f>
        <v>中部</v>
      </c>
      <c r="E142" s="38" t="str">
        <f>IFERROR(VLOOKUP(A142, '113_Faraway'!$A:$C, 3,FALSE),"非偏遠")</f>
        <v>非偏遠</v>
      </c>
      <c r="F142" s="33">
        <f>VLOOKUP(A142, '111_Raw'!$B:$D,3,FALSE)</f>
        <v>1331</v>
      </c>
      <c r="G142" s="33">
        <f>VLOOKUP(A142, '113_Raw'!$B:$D,3,FALSE)</f>
        <v>1321</v>
      </c>
      <c r="H142" s="35">
        <f t="shared" si="7"/>
        <v>-8.0000000000000002E-3</v>
      </c>
      <c r="I142" s="38" t="str">
        <f t="shared" si="6"/>
        <v>小幅下降</v>
      </c>
      <c r="J142" s="32" t="b">
        <f t="shared" si="8"/>
        <v>0</v>
      </c>
    </row>
    <row r="143" spans="1:10">
      <c r="A143" s="39">
        <v>80305</v>
      </c>
      <c r="B143" s="37" t="s">
        <v>26</v>
      </c>
      <c r="C143" s="37" t="s">
        <v>184</v>
      </c>
      <c r="D143" s="38" t="str">
        <f>VLOOKUP(B143, Mapping!$A:$B, 2, FALSE)</f>
        <v>中部</v>
      </c>
      <c r="E143" s="38" t="str">
        <f>IFERROR(VLOOKUP(A143, '113_Faraway'!$A:$C, 3,FALSE),"非偏遠")</f>
        <v>非偏遠</v>
      </c>
      <c r="F143" s="33">
        <f>VLOOKUP(A143, '111_Raw'!$B:$D,3,FALSE)</f>
        <v>1176</v>
      </c>
      <c r="G143" s="33">
        <f>VLOOKUP(A143, '113_Raw'!$B:$D,3,FALSE)</f>
        <v>1178</v>
      </c>
      <c r="H143" s="35">
        <f t="shared" si="7"/>
        <v>2E-3</v>
      </c>
      <c r="I143" s="38" t="str">
        <f t="shared" si="6"/>
        <v>穩定或成長</v>
      </c>
      <c r="J143" s="32" t="b">
        <f t="shared" si="8"/>
        <v>0</v>
      </c>
    </row>
    <row r="144" spans="1:10">
      <c r="A144" s="39">
        <v>80307</v>
      </c>
      <c r="B144" s="37" t="s">
        <v>26</v>
      </c>
      <c r="C144" s="37" t="s">
        <v>185</v>
      </c>
      <c r="D144" s="38" t="str">
        <f>VLOOKUP(B144, Mapping!$A:$B, 2, FALSE)</f>
        <v>中部</v>
      </c>
      <c r="E144" s="38" t="str">
        <f>IFERROR(VLOOKUP(A144, '113_Faraway'!$A:$C, 3,FALSE),"非偏遠")</f>
        <v>非偏遠</v>
      </c>
      <c r="F144" s="33">
        <f>VLOOKUP(A144, '111_Raw'!$B:$D,3,FALSE)</f>
        <v>1022</v>
      </c>
      <c r="G144" s="33">
        <f>VLOOKUP(A144, '113_Raw'!$B:$D,3,FALSE)</f>
        <v>959</v>
      </c>
      <c r="H144" s="35">
        <f t="shared" si="7"/>
        <v>-6.2E-2</v>
      </c>
      <c r="I144" s="38" t="str">
        <f t="shared" si="6"/>
        <v>明顯下降</v>
      </c>
      <c r="J144" s="32" t="b">
        <f t="shared" si="8"/>
        <v>1</v>
      </c>
    </row>
    <row r="145" spans="1:10">
      <c r="A145" s="39">
        <v>80308</v>
      </c>
      <c r="B145" s="37" t="s">
        <v>26</v>
      </c>
      <c r="C145" s="37" t="s">
        <v>186</v>
      </c>
      <c r="D145" s="38" t="str">
        <f>VLOOKUP(B145, Mapping!$A:$B, 2, FALSE)</f>
        <v>中部</v>
      </c>
      <c r="E145" s="38" t="str">
        <f>IFERROR(VLOOKUP(A145, '113_Faraway'!$A:$C, 3,FALSE),"非偏遠")</f>
        <v>非偏遠</v>
      </c>
      <c r="F145" s="33">
        <f>VLOOKUP(A145, '111_Raw'!$B:$D,3,FALSE)</f>
        <v>952</v>
      </c>
      <c r="G145" s="33">
        <f>VLOOKUP(A145, '113_Raw'!$B:$D,3,FALSE)</f>
        <v>778</v>
      </c>
      <c r="H145" s="35">
        <f t="shared" si="7"/>
        <v>-0.183</v>
      </c>
      <c r="I145" s="38" t="str">
        <f t="shared" si="6"/>
        <v>明顯下降</v>
      </c>
      <c r="J145" s="32" t="b">
        <f t="shared" si="8"/>
        <v>1</v>
      </c>
    </row>
    <row r="146" spans="1:10">
      <c r="A146" s="39">
        <v>81311</v>
      </c>
      <c r="B146" s="37" t="s">
        <v>26</v>
      </c>
      <c r="C146" s="37" t="s">
        <v>187</v>
      </c>
      <c r="D146" s="38" t="str">
        <f>VLOOKUP(B146, Mapping!$A:$B, 2, FALSE)</f>
        <v>中部</v>
      </c>
      <c r="E146" s="38" t="str">
        <f>IFERROR(VLOOKUP(A146, '113_Faraway'!$A:$C, 3,FALSE),"非偏遠")</f>
        <v>非偏遠</v>
      </c>
      <c r="F146" s="33">
        <f>VLOOKUP(A146, '111_Raw'!$B:$D,3,FALSE)</f>
        <v>383</v>
      </c>
      <c r="G146" s="33">
        <f>VLOOKUP(A146, '113_Raw'!$B:$D,3,FALSE)</f>
        <v>364</v>
      </c>
      <c r="H146" s="35">
        <f t="shared" si="7"/>
        <v>-0.05</v>
      </c>
      <c r="I146" s="38" t="str">
        <f t="shared" si="6"/>
        <v>明顯下降</v>
      </c>
      <c r="J146" s="32" t="b">
        <f t="shared" si="8"/>
        <v>1</v>
      </c>
    </row>
    <row r="147" spans="1:10">
      <c r="A147" s="39">
        <v>81312</v>
      </c>
      <c r="B147" s="37" t="s">
        <v>26</v>
      </c>
      <c r="C147" s="37" t="s">
        <v>188</v>
      </c>
      <c r="D147" s="38" t="str">
        <f>VLOOKUP(B147, Mapping!$A:$B, 2, FALSE)</f>
        <v>中部</v>
      </c>
      <c r="E147" s="38" t="str">
        <f>IFERROR(VLOOKUP(A147, '113_Faraway'!$A:$C, 3,FALSE),"非偏遠")</f>
        <v>非偏遠</v>
      </c>
      <c r="F147" s="33">
        <f>VLOOKUP(A147, '111_Raw'!$B:$D,3,FALSE)</f>
        <v>62</v>
      </c>
      <c r="G147" s="33">
        <f>VLOOKUP(A147, '113_Raw'!$B:$D,3,FALSE)</f>
        <v>67</v>
      </c>
      <c r="H147" s="35">
        <f t="shared" si="7"/>
        <v>8.1000000000000003E-2</v>
      </c>
      <c r="I147" s="38" t="str">
        <f t="shared" si="6"/>
        <v>穩定或成長</v>
      </c>
      <c r="J147" s="32" t="b">
        <f t="shared" si="8"/>
        <v>0</v>
      </c>
    </row>
    <row r="148" spans="1:10">
      <c r="A148" s="39">
        <v>81313</v>
      </c>
      <c r="B148" s="37" t="s">
        <v>26</v>
      </c>
      <c r="C148" s="37" t="s">
        <v>189</v>
      </c>
      <c r="D148" s="38" t="str">
        <f>VLOOKUP(B148, Mapping!$A:$B, 2, FALSE)</f>
        <v>中部</v>
      </c>
      <c r="E148" s="38" t="str">
        <f>IFERROR(VLOOKUP(A148, '113_Faraway'!$A:$C, 3,FALSE),"非偏遠")</f>
        <v>非偏遠</v>
      </c>
      <c r="F148" s="33">
        <f>VLOOKUP(A148, '111_Raw'!$B:$D,3,FALSE)</f>
        <v>82</v>
      </c>
      <c r="G148" s="33">
        <f>VLOOKUP(A148, '113_Raw'!$B:$D,3,FALSE)</f>
        <v>72</v>
      </c>
      <c r="H148" s="35">
        <f t="shared" si="7"/>
        <v>-0.122</v>
      </c>
      <c r="I148" s="38" t="str">
        <f t="shared" si="6"/>
        <v>明顯下降</v>
      </c>
      <c r="J148" s="32" t="b">
        <f t="shared" si="8"/>
        <v>1</v>
      </c>
    </row>
    <row r="149" spans="1:10">
      <c r="A149" s="39">
        <v>81314</v>
      </c>
      <c r="B149" s="37" t="s">
        <v>26</v>
      </c>
      <c r="C149" s="37" t="s">
        <v>190</v>
      </c>
      <c r="D149" s="38" t="str">
        <f>VLOOKUP(B149, Mapping!$A:$B, 2, FALSE)</f>
        <v>中部</v>
      </c>
      <c r="E149" s="38" t="str">
        <f>IFERROR(VLOOKUP(A149, '113_Faraway'!$A:$C, 3,FALSE),"非偏遠")</f>
        <v>非偏遠</v>
      </c>
      <c r="F149" s="33">
        <f>VLOOKUP(A149, '111_Raw'!$B:$D,3,FALSE)</f>
        <v>504</v>
      </c>
      <c r="G149" s="33">
        <f>VLOOKUP(A149, '113_Raw'!$B:$D,3,FALSE)</f>
        <v>444</v>
      </c>
      <c r="H149" s="35">
        <f t="shared" si="7"/>
        <v>-0.11899999999999999</v>
      </c>
      <c r="I149" s="38" t="str">
        <f t="shared" si="6"/>
        <v>明顯下降</v>
      </c>
      <c r="J149" s="32" t="b">
        <f t="shared" si="8"/>
        <v>1</v>
      </c>
    </row>
    <row r="150" spans="1:10">
      <c r="A150" s="39">
        <v>84309</v>
      </c>
      <c r="B150" s="37" t="s">
        <v>26</v>
      </c>
      <c r="C150" s="37" t="s">
        <v>191</v>
      </c>
      <c r="D150" s="38" t="str">
        <f>VLOOKUP(B150, Mapping!$A:$B, 2, FALSE)</f>
        <v>中部</v>
      </c>
      <c r="E150" s="38" t="str">
        <f>IFERROR(VLOOKUP(A150, '113_Faraway'!$A:$C, 3,FALSE),"非偏遠")</f>
        <v>非偏遠</v>
      </c>
      <c r="F150" s="33">
        <f>VLOOKUP(A150, '111_Raw'!$B:$D,3,FALSE)</f>
        <v>629</v>
      </c>
      <c r="G150" s="33">
        <f>VLOOKUP(A150, '113_Raw'!$B:$D,3,FALSE)</f>
        <v>529</v>
      </c>
      <c r="H150" s="35">
        <f t="shared" si="7"/>
        <v>-0.159</v>
      </c>
      <c r="I150" s="38" t="str">
        <f t="shared" si="6"/>
        <v>明顯下降</v>
      </c>
      <c r="J150" s="32" t="b">
        <f t="shared" si="8"/>
        <v>1</v>
      </c>
    </row>
    <row r="151" spans="1:10">
      <c r="A151" s="39">
        <v>90305</v>
      </c>
      <c r="B151" s="37" t="s">
        <v>27</v>
      </c>
      <c r="C151" s="37" t="s">
        <v>192</v>
      </c>
      <c r="D151" s="38" t="str">
        <f>VLOOKUP(B151, Mapping!$A:$B, 2, FALSE)</f>
        <v>中部</v>
      </c>
      <c r="E151" s="38" t="str">
        <f>IFERROR(VLOOKUP(A151, '113_Faraway'!$A:$C, 3,FALSE),"非偏遠")</f>
        <v>非偏遠</v>
      </c>
      <c r="F151" s="33">
        <f>VLOOKUP(A151, '111_Raw'!$B:$D,3,FALSE)</f>
        <v>1521</v>
      </c>
      <c r="G151" s="33">
        <f>VLOOKUP(A151, '113_Raw'!$B:$D,3,FALSE)</f>
        <v>1523</v>
      </c>
      <c r="H151" s="35">
        <f t="shared" si="7"/>
        <v>1E-3</v>
      </c>
      <c r="I151" s="38" t="str">
        <f t="shared" si="6"/>
        <v>穩定或成長</v>
      </c>
      <c r="J151" s="32" t="b">
        <f t="shared" si="8"/>
        <v>0</v>
      </c>
    </row>
    <row r="152" spans="1:10">
      <c r="A152" s="39">
        <v>90306</v>
      </c>
      <c r="B152" s="37" t="s">
        <v>27</v>
      </c>
      <c r="C152" s="37" t="s">
        <v>193</v>
      </c>
      <c r="D152" s="38" t="str">
        <f>VLOOKUP(B152, Mapping!$A:$B, 2, FALSE)</f>
        <v>中部</v>
      </c>
      <c r="E152" s="38" t="str">
        <f>IFERROR(VLOOKUP(A152, '113_Faraway'!$A:$C, 3,FALSE),"非偏遠")</f>
        <v>非偏遠</v>
      </c>
      <c r="F152" s="33">
        <f>VLOOKUP(A152, '111_Raw'!$B:$D,3,FALSE)</f>
        <v>801</v>
      </c>
      <c r="G152" s="33">
        <f>VLOOKUP(A152, '113_Raw'!$B:$D,3,FALSE)</f>
        <v>651</v>
      </c>
      <c r="H152" s="35">
        <f t="shared" si="7"/>
        <v>-0.187</v>
      </c>
      <c r="I152" s="38" t="str">
        <f t="shared" si="6"/>
        <v>明顯下降</v>
      </c>
      <c r="J152" s="32" t="b">
        <f t="shared" si="8"/>
        <v>1</v>
      </c>
    </row>
    <row r="153" spans="1:10">
      <c r="A153" s="39">
        <v>90315</v>
      </c>
      <c r="B153" s="37" t="s">
        <v>27</v>
      </c>
      <c r="C153" s="37" t="s">
        <v>194</v>
      </c>
      <c r="D153" s="38" t="str">
        <f>VLOOKUP(B153, Mapping!$A:$B, 2, FALSE)</f>
        <v>中部</v>
      </c>
      <c r="E153" s="38" t="str">
        <f>IFERROR(VLOOKUP(A153, '113_Faraway'!$A:$C, 3,FALSE),"非偏遠")</f>
        <v>非偏遠</v>
      </c>
      <c r="F153" s="33">
        <f>VLOOKUP(A153, '111_Raw'!$B:$D,3,FALSE)</f>
        <v>1342</v>
      </c>
      <c r="G153" s="33">
        <f>VLOOKUP(A153, '113_Raw'!$B:$D,3,FALSE)</f>
        <v>1364</v>
      </c>
      <c r="H153" s="35">
        <f t="shared" si="7"/>
        <v>1.6E-2</v>
      </c>
      <c r="I153" s="38" t="str">
        <f t="shared" si="6"/>
        <v>穩定或成長</v>
      </c>
      <c r="J153" s="32" t="b">
        <f t="shared" si="8"/>
        <v>0</v>
      </c>
    </row>
    <row r="154" spans="1:10">
      <c r="A154" s="39">
        <v>91307</v>
      </c>
      <c r="B154" s="37" t="s">
        <v>27</v>
      </c>
      <c r="C154" s="37" t="s">
        <v>195</v>
      </c>
      <c r="D154" s="38" t="str">
        <f>VLOOKUP(B154, Mapping!$A:$B, 2, FALSE)</f>
        <v>中部</v>
      </c>
      <c r="E154" s="38" t="str">
        <f>IFERROR(VLOOKUP(A154, '113_Faraway'!$A:$C, 3,FALSE),"非偏遠")</f>
        <v>非偏遠</v>
      </c>
      <c r="F154" s="33">
        <f>VLOOKUP(A154, '111_Raw'!$B:$D,3,FALSE)</f>
        <v>219</v>
      </c>
      <c r="G154" s="33">
        <f>VLOOKUP(A154, '113_Raw'!$B:$D,3,FALSE)</f>
        <v>307</v>
      </c>
      <c r="H154" s="35">
        <f t="shared" si="7"/>
        <v>0.40200000000000002</v>
      </c>
      <c r="I154" s="38" t="str">
        <f t="shared" si="6"/>
        <v>穩定或成長</v>
      </c>
      <c r="J154" s="32" t="b">
        <f t="shared" si="8"/>
        <v>0</v>
      </c>
    </row>
    <row r="155" spans="1:10">
      <c r="A155" s="39">
        <v>91308</v>
      </c>
      <c r="B155" s="37" t="s">
        <v>27</v>
      </c>
      <c r="C155" s="37" t="s">
        <v>196</v>
      </c>
      <c r="D155" s="38" t="str">
        <f>VLOOKUP(B155, Mapping!$A:$B, 2, FALSE)</f>
        <v>中部</v>
      </c>
      <c r="E155" s="38" t="str">
        <f>IFERROR(VLOOKUP(A155, '113_Faraway'!$A:$C, 3,FALSE),"非偏遠")</f>
        <v>非偏遠</v>
      </c>
      <c r="F155" s="33">
        <f>VLOOKUP(A155, '111_Raw'!$B:$D,3,FALSE)</f>
        <v>926</v>
      </c>
      <c r="G155" s="33">
        <f>VLOOKUP(A155, '113_Raw'!$B:$D,3,FALSE)</f>
        <v>834</v>
      </c>
      <c r="H155" s="35">
        <f t="shared" si="7"/>
        <v>-9.9000000000000005E-2</v>
      </c>
      <c r="I155" s="38" t="str">
        <f t="shared" si="6"/>
        <v>明顯下降</v>
      </c>
      <c r="J155" s="32" t="b">
        <f t="shared" si="8"/>
        <v>1</v>
      </c>
    </row>
    <row r="156" spans="1:10">
      <c r="A156" s="39">
        <v>91311</v>
      </c>
      <c r="B156" s="37" t="s">
        <v>27</v>
      </c>
      <c r="C156" s="37" t="s">
        <v>197</v>
      </c>
      <c r="D156" s="38" t="str">
        <f>VLOOKUP(B156, Mapping!$A:$B, 2, FALSE)</f>
        <v>中部</v>
      </c>
      <c r="E156" s="38" t="str">
        <f>IFERROR(VLOOKUP(A156, '113_Faraway'!$A:$C, 3,FALSE),"非偏遠")</f>
        <v>非偏遠</v>
      </c>
      <c r="F156" s="33">
        <f>VLOOKUP(A156, '111_Raw'!$B:$D,3,FALSE)</f>
        <v>261</v>
      </c>
      <c r="G156" s="33">
        <f>VLOOKUP(A156, '113_Raw'!$B:$D,3,FALSE)</f>
        <v>226</v>
      </c>
      <c r="H156" s="35">
        <f t="shared" si="7"/>
        <v>-0.13400000000000001</v>
      </c>
      <c r="I156" s="38" t="str">
        <f t="shared" si="6"/>
        <v>明顯下降</v>
      </c>
      <c r="J156" s="32" t="b">
        <f t="shared" si="8"/>
        <v>1</v>
      </c>
    </row>
    <row r="157" spans="1:10">
      <c r="A157" s="39">
        <v>91312</v>
      </c>
      <c r="B157" s="37" t="s">
        <v>27</v>
      </c>
      <c r="C157" s="37" t="s">
        <v>198</v>
      </c>
      <c r="D157" s="38" t="str">
        <f>VLOOKUP(B157, Mapping!$A:$B, 2, FALSE)</f>
        <v>中部</v>
      </c>
      <c r="E157" s="38" t="str">
        <f>IFERROR(VLOOKUP(A157, '113_Faraway'!$A:$C, 3,FALSE),"非偏遠")</f>
        <v>非偏遠</v>
      </c>
      <c r="F157" s="33">
        <f>VLOOKUP(A157, '111_Raw'!$B:$D,3,FALSE)</f>
        <v>401</v>
      </c>
      <c r="G157" s="33">
        <f>VLOOKUP(A157, '113_Raw'!$B:$D,3,FALSE)</f>
        <v>254</v>
      </c>
      <c r="H157" s="35">
        <f t="shared" si="7"/>
        <v>-0.36699999999999999</v>
      </c>
      <c r="I157" s="38" t="str">
        <f t="shared" si="6"/>
        <v>明顯下降</v>
      </c>
      <c r="J157" s="32" t="b">
        <f t="shared" si="8"/>
        <v>1</v>
      </c>
    </row>
    <row r="158" spans="1:10">
      <c r="A158" s="39">
        <v>91316</v>
      </c>
      <c r="B158" s="37" t="s">
        <v>27</v>
      </c>
      <c r="C158" s="37" t="s">
        <v>199</v>
      </c>
      <c r="D158" s="38" t="str">
        <f>VLOOKUP(B158, Mapping!$A:$B, 2, FALSE)</f>
        <v>中部</v>
      </c>
      <c r="E158" s="38" t="str">
        <f>IFERROR(VLOOKUP(A158, '113_Faraway'!$A:$C, 3,FALSE),"非偏遠")</f>
        <v>非偏遠</v>
      </c>
      <c r="F158" s="33">
        <f>VLOOKUP(A158, '111_Raw'!$B:$D,3,FALSE)</f>
        <v>544</v>
      </c>
      <c r="G158" s="33">
        <f>VLOOKUP(A158, '113_Raw'!$B:$D,3,FALSE)</f>
        <v>486</v>
      </c>
      <c r="H158" s="35">
        <f t="shared" si="7"/>
        <v>-0.107</v>
      </c>
      <c r="I158" s="38" t="str">
        <f t="shared" si="6"/>
        <v>明顯下降</v>
      </c>
      <c r="J158" s="32" t="b">
        <f t="shared" si="8"/>
        <v>1</v>
      </c>
    </row>
    <row r="159" spans="1:10">
      <c r="A159" s="39">
        <v>91318</v>
      </c>
      <c r="B159" s="37" t="s">
        <v>27</v>
      </c>
      <c r="C159" s="37" t="s">
        <v>200</v>
      </c>
      <c r="D159" s="38" t="str">
        <f>VLOOKUP(B159, Mapping!$A:$B, 2, FALSE)</f>
        <v>中部</v>
      </c>
      <c r="E159" s="38" t="str">
        <f>IFERROR(VLOOKUP(A159, '113_Faraway'!$A:$C, 3,FALSE),"非偏遠")</f>
        <v>非偏遠</v>
      </c>
      <c r="F159" s="33">
        <f>VLOOKUP(A159, '111_Raw'!$B:$D,3,FALSE)</f>
        <v>661</v>
      </c>
      <c r="G159" s="33">
        <f>VLOOKUP(A159, '113_Raw'!$B:$D,3,FALSE)</f>
        <v>543</v>
      </c>
      <c r="H159" s="35">
        <f t="shared" si="7"/>
        <v>-0.17899999999999999</v>
      </c>
      <c r="I159" s="38" t="str">
        <f t="shared" si="6"/>
        <v>明顯下降</v>
      </c>
      <c r="J159" s="32" t="b">
        <f t="shared" si="8"/>
        <v>1</v>
      </c>
    </row>
    <row r="160" spans="1:10">
      <c r="A160" s="39">
        <v>91319</v>
      </c>
      <c r="B160" s="37" t="s">
        <v>27</v>
      </c>
      <c r="C160" s="37" t="s">
        <v>201</v>
      </c>
      <c r="D160" s="38" t="str">
        <f>VLOOKUP(B160, Mapping!$A:$B, 2, FALSE)</f>
        <v>中部</v>
      </c>
      <c r="E160" s="38" t="str">
        <f>IFERROR(VLOOKUP(A160, '113_Faraway'!$A:$C, 3,FALSE),"非偏遠")</f>
        <v>非偏遠</v>
      </c>
      <c r="F160" s="33">
        <f>VLOOKUP(A160, '111_Raw'!$B:$D,3,FALSE)</f>
        <v>272</v>
      </c>
      <c r="G160" s="33">
        <f>VLOOKUP(A160, '113_Raw'!$B:$D,3,FALSE)</f>
        <v>201</v>
      </c>
      <c r="H160" s="35">
        <f t="shared" si="7"/>
        <v>-0.26100000000000001</v>
      </c>
      <c r="I160" s="38" t="str">
        <f t="shared" si="6"/>
        <v>明顯下降</v>
      </c>
      <c r="J160" s="32" t="b">
        <f t="shared" si="8"/>
        <v>1</v>
      </c>
    </row>
    <row r="161" spans="1:10">
      <c r="A161" s="39">
        <v>91320</v>
      </c>
      <c r="B161" s="37" t="s">
        <v>27</v>
      </c>
      <c r="C161" s="37" t="s">
        <v>202</v>
      </c>
      <c r="D161" s="38" t="str">
        <f>VLOOKUP(B161, Mapping!$A:$B, 2, FALSE)</f>
        <v>中部</v>
      </c>
      <c r="E161" s="38" t="str">
        <f>IFERROR(VLOOKUP(A161, '113_Faraway'!$A:$C, 3,FALSE),"非偏遠")</f>
        <v>非偏遠</v>
      </c>
      <c r="F161" s="33">
        <f>VLOOKUP(A161, '111_Raw'!$B:$D,3,FALSE)</f>
        <v>124</v>
      </c>
      <c r="G161" s="33">
        <f>VLOOKUP(A161, '113_Raw'!$B:$D,3,FALSE)</f>
        <v>135</v>
      </c>
      <c r="H161" s="35">
        <f t="shared" si="7"/>
        <v>8.8999999999999996E-2</v>
      </c>
      <c r="I161" s="38" t="str">
        <f t="shared" si="6"/>
        <v>穩定或成長</v>
      </c>
      <c r="J161" s="32" t="b">
        <f t="shared" si="8"/>
        <v>0</v>
      </c>
    </row>
    <row r="162" spans="1:10">
      <c r="A162" s="39">
        <v>94301</v>
      </c>
      <c r="B162" s="37" t="s">
        <v>27</v>
      </c>
      <c r="C162" s="37" t="s">
        <v>203</v>
      </c>
      <c r="D162" s="38" t="str">
        <f>VLOOKUP(B162, Mapping!$A:$B, 2, FALSE)</f>
        <v>中部</v>
      </c>
      <c r="E162" s="38" t="str">
        <f>IFERROR(VLOOKUP(A162, '113_Faraway'!$A:$C, 3,FALSE),"非偏遠")</f>
        <v>非偏遠</v>
      </c>
      <c r="F162" s="33">
        <f>VLOOKUP(A162, '111_Raw'!$B:$D,3,FALSE)</f>
        <v>533</v>
      </c>
      <c r="G162" s="33">
        <f>VLOOKUP(A162, '113_Raw'!$B:$D,3,FALSE)</f>
        <v>569</v>
      </c>
      <c r="H162" s="35">
        <f t="shared" si="7"/>
        <v>6.8000000000000005E-2</v>
      </c>
      <c r="I162" s="38" t="str">
        <f t="shared" si="6"/>
        <v>穩定或成長</v>
      </c>
      <c r="J162" s="32" t="b">
        <f t="shared" si="8"/>
        <v>0</v>
      </c>
    </row>
    <row r="163" spans="1:10">
      <c r="A163" s="39">
        <v>94307</v>
      </c>
      <c r="B163" s="37" t="s">
        <v>27</v>
      </c>
      <c r="C163" s="37" t="s">
        <v>204</v>
      </c>
      <c r="D163" s="38" t="str">
        <f>VLOOKUP(B163, Mapping!$A:$B, 2, FALSE)</f>
        <v>中部</v>
      </c>
      <c r="E163" s="38" t="str">
        <f>IFERROR(VLOOKUP(A163, '113_Faraway'!$A:$C, 3,FALSE),"非偏遠")</f>
        <v>偏遠</v>
      </c>
      <c r="F163" s="33">
        <f>VLOOKUP(A163, '111_Raw'!$B:$D,3,FALSE)</f>
        <v>459</v>
      </c>
      <c r="G163" s="33">
        <f>VLOOKUP(A163, '113_Raw'!$B:$D,3,FALSE)</f>
        <v>405</v>
      </c>
      <c r="H163" s="35">
        <f t="shared" si="7"/>
        <v>-0.11799999999999999</v>
      </c>
      <c r="I163" s="38" t="str">
        <f t="shared" si="6"/>
        <v>明顯下降</v>
      </c>
      <c r="J163" s="32" t="b">
        <f t="shared" si="8"/>
        <v>1</v>
      </c>
    </row>
    <row r="164" spans="1:10">
      <c r="A164" s="39">
        <v>94308</v>
      </c>
      <c r="B164" s="37" t="s">
        <v>27</v>
      </c>
      <c r="C164" s="37" t="s">
        <v>205</v>
      </c>
      <c r="D164" s="38" t="str">
        <f>VLOOKUP(B164, Mapping!$A:$B, 2, FALSE)</f>
        <v>中部</v>
      </c>
      <c r="E164" s="38" t="str">
        <f>IFERROR(VLOOKUP(A164, '113_Faraway'!$A:$C, 3,FALSE),"非偏遠")</f>
        <v>特偏</v>
      </c>
      <c r="F164" s="33">
        <f>VLOOKUP(A164, '111_Raw'!$B:$D,3,FALSE)</f>
        <v>65</v>
      </c>
      <c r="G164" s="33">
        <f>VLOOKUP(A164, '113_Raw'!$B:$D,3,FALSE)</f>
        <v>59</v>
      </c>
      <c r="H164" s="35">
        <f t="shared" si="7"/>
        <v>-9.1999999999999998E-2</v>
      </c>
      <c r="I164" s="38" t="str">
        <f t="shared" si="6"/>
        <v>明顯下降</v>
      </c>
      <c r="J164" s="32" t="b">
        <f t="shared" si="8"/>
        <v>1</v>
      </c>
    </row>
    <row r="165" spans="1:10">
      <c r="A165" s="39">
        <v>94326</v>
      </c>
      <c r="B165" s="37" t="s">
        <v>27</v>
      </c>
      <c r="C165" s="37" t="s">
        <v>206</v>
      </c>
      <c r="D165" s="38" t="str">
        <f>VLOOKUP(B165, Mapping!$A:$B, 2, FALSE)</f>
        <v>中部</v>
      </c>
      <c r="E165" s="38" t="str">
        <f>IFERROR(VLOOKUP(A165, '113_Faraway'!$A:$C, 3,FALSE),"非偏遠")</f>
        <v>偏遠</v>
      </c>
      <c r="F165" s="33">
        <f>VLOOKUP(A165, '111_Raw'!$B:$D,3,FALSE)</f>
        <v>121</v>
      </c>
      <c r="G165" s="33">
        <f>VLOOKUP(A165, '113_Raw'!$B:$D,3,FALSE)</f>
        <v>111</v>
      </c>
      <c r="H165" s="35">
        <f t="shared" si="7"/>
        <v>-8.3000000000000004E-2</v>
      </c>
      <c r="I165" s="38" t="str">
        <f t="shared" si="6"/>
        <v>明顯下降</v>
      </c>
      <c r="J165" s="32" t="b">
        <f t="shared" si="8"/>
        <v>1</v>
      </c>
    </row>
    <row r="166" spans="1:10">
      <c r="A166" s="36">
        <v>100301</v>
      </c>
      <c r="B166" s="37" t="s">
        <v>28</v>
      </c>
      <c r="C166" s="37" t="s">
        <v>207</v>
      </c>
      <c r="D166" s="38" t="str">
        <f>VLOOKUP(B166, Mapping!$A:$B, 2, FALSE)</f>
        <v>南部</v>
      </c>
      <c r="E166" s="38" t="str">
        <f>IFERROR(VLOOKUP(A166, '113_Faraway'!$A:$C, 3,FALSE),"非偏遠")</f>
        <v>非偏遠</v>
      </c>
      <c r="F166" s="33">
        <f>VLOOKUP(A166, '111_Raw'!$B:$D,3,FALSE)</f>
        <v>1074</v>
      </c>
      <c r="G166" s="33">
        <f>VLOOKUP(A166, '113_Raw'!$B:$D,3,FALSE)</f>
        <v>1045</v>
      </c>
      <c r="H166" s="35">
        <f t="shared" si="7"/>
        <v>-2.7E-2</v>
      </c>
      <c r="I166" s="38" t="str">
        <f t="shared" si="6"/>
        <v>小幅下降</v>
      </c>
      <c r="J166" s="32" t="b">
        <f t="shared" si="8"/>
        <v>1</v>
      </c>
    </row>
    <row r="167" spans="1:10">
      <c r="A167" s="36">
        <v>100302</v>
      </c>
      <c r="B167" s="37" t="s">
        <v>28</v>
      </c>
      <c r="C167" s="37" t="s">
        <v>208</v>
      </c>
      <c r="D167" s="38" t="str">
        <f>VLOOKUP(B167, Mapping!$A:$B, 2, FALSE)</f>
        <v>南部</v>
      </c>
      <c r="E167" s="38" t="str">
        <f>IFERROR(VLOOKUP(A167, '113_Faraway'!$A:$C, 3,FALSE),"非偏遠")</f>
        <v>非偏遠</v>
      </c>
      <c r="F167" s="33">
        <f>VLOOKUP(A167, '111_Raw'!$B:$D,3,FALSE)</f>
        <v>217</v>
      </c>
      <c r="G167" s="33">
        <f>VLOOKUP(A167, '113_Raw'!$B:$D,3,FALSE)</f>
        <v>195</v>
      </c>
      <c r="H167" s="35">
        <f t="shared" si="7"/>
        <v>-0.10100000000000001</v>
      </c>
      <c r="I167" s="38" t="str">
        <f t="shared" si="6"/>
        <v>明顯下降</v>
      </c>
      <c r="J167" s="32" t="b">
        <f t="shared" si="8"/>
        <v>1</v>
      </c>
    </row>
    <row r="168" spans="1:10">
      <c r="A168" s="36">
        <v>101303</v>
      </c>
      <c r="B168" s="37" t="s">
        <v>28</v>
      </c>
      <c r="C168" s="37" t="s">
        <v>209</v>
      </c>
      <c r="D168" s="38" t="str">
        <f>VLOOKUP(B168, Mapping!$A:$B, 2, FALSE)</f>
        <v>南部</v>
      </c>
      <c r="E168" s="38" t="str">
        <f>IFERROR(VLOOKUP(A168, '113_Faraway'!$A:$C, 3,FALSE),"非偏遠")</f>
        <v>非偏遠</v>
      </c>
      <c r="F168" s="33">
        <f>VLOOKUP(A168, '111_Raw'!$B:$D,3,FALSE)</f>
        <v>54</v>
      </c>
      <c r="G168" s="33">
        <f>VLOOKUP(A168, '113_Raw'!$B:$D,3,FALSE)</f>
        <v>15</v>
      </c>
      <c r="H168" s="35">
        <f t="shared" si="7"/>
        <v>-0.72199999999999998</v>
      </c>
      <c r="I168" s="38" t="str">
        <f t="shared" si="6"/>
        <v>明顯下降</v>
      </c>
      <c r="J168" s="32" t="b">
        <f t="shared" si="8"/>
        <v>1</v>
      </c>
    </row>
    <row r="169" spans="1:10">
      <c r="A169" s="36">
        <v>101304</v>
      </c>
      <c r="B169" s="37" t="s">
        <v>28</v>
      </c>
      <c r="C169" s="37" t="s">
        <v>210</v>
      </c>
      <c r="D169" s="38" t="str">
        <f>VLOOKUP(B169, Mapping!$A:$B, 2, FALSE)</f>
        <v>南部</v>
      </c>
      <c r="E169" s="38" t="str">
        <f>IFERROR(VLOOKUP(A169, '113_Faraway'!$A:$C, 3,FALSE),"非偏遠")</f>
        <v>非偏遠</v>
      </c>
      <c r="F169" s="33">
        <f>VLOOKUP(A169, '111_Raw'!$B:$D,3,FALSE)</f>
        <v>908</v>
      </c>
      <c r="G169" s="33">
        <f>VLOOKUP(A169, '113_Raw'!$B:$D,3,FALSE)</f>
        <v>868</v>
      </c>
      <c r="H169" s="35">
        <f t="shared" si="7"/>
        <v>-4.3999999999999997E-2</v>
      </c>
      <c r="I169" s="38" t="str">
        <f t="shared" si="6"/>
        <v>小幅下降</v>
      </c>
      <c r="J169" s="32" t="b">
        <f t="shared" si="8"/>
        <v>1</v>
      </c>
    </row>
    <row r="170" spans="1:10">
      <c r="A170" s="36">
        <v>104319</v>
      </c>
      <c r="B170" s="37" t="s">
        <v>28</v>
      </c>
      <c r="C170" s="37" t="s">
        <v>211</v>
      </c>
      <c r="D170" s="38" t="str">
        <f>VLOOKUP(B170, Mapping!$A:$B, 2, FALSE)</f>
        <v>南部</v>
      </c>
      <c r="E170" s="38" t="str">
        <f>IFERROR(VLOOKUP(A170, '113_Faraway'!$A:$C, 3,FALSE),"非偏遠")</f>
        <v>非偏遠</v>
      </c>
      <c r="F170" s="33">
        <f>VLOOKUP(A170, '111_Raw'!$B:$D,3,FALSE)</f>
        <v>501</v>
      </c>
      <c r="G170" s="33">
        <f>VLOOKUP(A170, '113_Raw'!$B:$D,3,FALSE)</f>
        <v>466</v>
      </c>
      <c r="H170" s="35">
        <f t="shared" si="7"/>
        <v>-7.0000000000000007E-2</v>
      </c>
      <c r="I170" s="38" t="str">
        <f t="shared" si="6"/>
        <v>明顯下降</v>
      </c>
      <c r="J170" s="32" t="b">
        <f t="shared" si="8"/>
        <v>1</v>
      </c>
    </row>
    <row r="171" spans="1:10">
      <c r="A171" s="36">
        <v>104326</v>
      </c>
      <c r="B171" s="37" t="s">
        <v>28</v>
      </c>
      <c r="C171" s="37" t="s">
        <v>212</v>
      </c>
      <c r="D171" s="38" t="str">
        <f>VLOOKUP(B171, Mapping!$A:$B, 2, FALSE)</f>
        <v>南部</v>
      </c>
      <c r="E171" s="38" t="str">
        <f>IFERROR(VLOOKUP(A171, '113_Faraway'!$A:$C, 3,FALSE),"非偏遠")</f>
        <v>非偏遠</v>
      </c>
      <c r="F171" s="33">
        <f>VLOOKUP(A171, '111_Raw'!$B:$D,3,FALSE)</f>
        <v>546</v>
      </c>
      <c r="G171" s="33">
        <f>VLOOKUP(A171, '113_Raw'!$B:$D,3,FALSE)</f>
        <v>522</v>
      </c>
      <c r="H171" s="35">
        <f t="shared" si="7"/>
        <v>-4.3999999999999997E-2</v>
      </c>
      <c r="I171" s="38" t="str">
        <f t="shared" si="6"/>
        <v>小幅下降</v>
      </c>
      <c r="J171" s="32" t="b">
        <f t="shared" si="8"/>
        <v>1</v>
      </c>
    </row>
    <row r="172" spans="1:10">
      <c r="A172" s="36">
        <v>110302</v>
      </c>
      <c r="B172" s="37" t="s">
        <v>29</v>
      </c>
      <c r="C172" s="37" t="s">
        <v>213</v>
      </c>
      <c r="D172" s="38" t="str">
        <f>VLOOKUP(B172, Mapping!$A:$B, 2, FALSE)</f>
        <v>南部</v>
      </c>
      <c r="E172" s="38" t="str">
        <f>IFERROR(VLOOKUP(A172, '113_Faraway'!$A:$C, 3,FALSE),"非偏遠")</f>
        <v>非偏遠</v>
      </c>
      <c r="F172" s="33">
        <f>VLOOKUP(A172, '111_Raw'!$B:$D,3,FALSE)</f>
        <v>1038</v>
      </c>
      <c r="G172" s="33">
        <f>VLOOKUP(A172, '113_Raw'!$B:$D,3,FALSE)</f>
        <v>1079</v>
      </c>
      <c r="H172" s="35">
        <f t="shared" si="7"/>
        <v>3.9E-2</v>
      </c>
      <c r="I172" s="38" t="str">
        <f t="shared" si="6"/>
        <v>穩定或成長</v>
      </c>
      <c r="J172" s="32" t="b">
        <f t="shared" si="8"/>
        <v>0</v>
      </c>
    </row>
    <row r="173" spans="1:10">
      <c r="A173" s="36">
        <v>110308</v>
      </c>
      <c r="B173" s="37" t="s">
        <v>29</v>
      </c>
      <c r="C173" s="37" t="s">
        <v>214</v>
      </c>
      <c r="D173" s="38" t="str">
        <f>VLOOKUP(B173, Mapping!$A:$B, 2, FALSE)</f>
        <v>南部</v>
      </c>
      <c r="E173" s="38" t="str">
        <f>IFERROR(VLOOKUP(A173, '113_Faraway'!$A:$C, 3,FALSE),"非偏遠")</f>
        <v>非偏遠</v>
      </c>
      <c r="F173" s="33">
        <f>VLOOKUP(A173, '111_Raw'!$B:$D,3,FALSE)</f>
        <v>1501</v>
      </c>
      <c r="G173" s="33">
        <f>VLOOKUP(A173, '113_Raw'!$B:$D,3,FALSE)</f>
        <v>1505</v>
      </c>
      <c r="H173" s="35">
        <f t="shared" si="7"/>
        <v>3.0000000000000001E-3</v>
      </c>
      <c r="I173" s="38" t="str">
        <f t="shared" si="6"/>
        <v>穩定或成長</v>
      </c>
      <c r="J173" s="32" t="b">
        <f t="shared" si="8"/>
        <v>0</v>
      </c>
    </row>
    <row r="174" spans="1:10">
      <c r="A174" s="36">
        <v>110311</v>
      </c>
      <c r="B174" s="37" t="s">
        <v>29</v>
      </c>
      <c r="C174" s="37" t="s">
        <v>215</v>
      </c>
      <c r="D174" s="38" t="str">
        <f>VLOOKUP(B174, Mapping!$A:$B, 2, FALSE)</f>
        <v>南部</v>
      </c>
      <c r="E174" s="38" t="str">
        <f>IFERROR(VLOOKUP(A174, '113_Faraway'!$A:$C, 3,FALSE),"非偏遠")</f>
        <v>非偏遠</v>
      </c>
      <c r="F174" s="33">
        <f>VLOOKUP(A174, '111_Raw'!$B:$D,3,FALSE)</f>
        <v>953</v>
      </c>
      <c r="G174" s="33">
        <f>VLOOKUP(A174, '113_Raw'!$B:$D,3,FALSE)</f>
        <v>967</v>
      </c>
      <c r="H174" s="35">
        <f t="shared" si="7"/>
        <v>1.4999999999999999E-2</v>
      </c>
      <c r="I174" s="38" t="str">
        <f t="shared" si="6"/>
        <v>穩定或成長</v>
      </c>
      <c r="J174" s="32" t="b">
        <f t="shared" si="8"/>
        <v>0</v>
      </c>
    </row>
    <row r="175" spans="1:10">
      <c r="A175" s="36">
        <v>110312</v>
      </c>
      <c r="B175" s="37" t="s">
        <v>29</v>
      </c>
      <c r="C175" s="37" t="s">
        <v>216</v>
      </c>
      <c r="D175" s="38" t="str">
        <f>VLOOKUP(B175, Mapping!$A:$B, 2, FALSE)</f>
        <v>南部</v>
      </c>
      <c r="E175" s="38" t="str">
        <f>IFERROR(VLOOKUP(A175, '113_Faraway'!$A:$C, 3,FALSE),"非偏遠")</f>
        <v>非偏遠</v>
      </c>
      <c r="F175" s="33">
        <f>VLOOKUP(A175, '111_Raw'!$B:$D,3,FALSE)</f>
        <v>997</v>
      </c>
      <c r="G175" s="33">
        <f>VLOOKUP(A175, '113_Raw'!$B:$D,3,FALSE)</f>
        <v>1006</v>
      </c>
      <c r="H175" s="35">
        <f t="shared" si="7"/>
        <v>8.9999999999999993E-3</v>
      </c>
      <c r="I175" s="38" t="str">
        <f t="shared" si="6"/>
        <v>穩定或成長</v>
      </c>
      <c r="J175" s="32" t="b">
        <f t="shared" si="8"/>
        <v>0</v>
      </c>
    </row>
    <row r="176" spans="1:10">
      <c r="A176" s="36">
        <v>110314</v>
      </c>
      <c r="B176" s="37" t="s">
        <v>29</v>
      </c>
      <c r="C176" s="37" t="s">
        <v>217</v>
      </c>
      <c r="D176" s="38" t="str">
        <f>VLOOKUP(B176, Mapping!$A:$B, 2, FALSE)</f>
        <v>南部</v>
      </c>
      <c r="E176" s="38" t="str">
        <f>IFERROR(VLOOKUP(A176, '113_Faraway'!$A:$C, 3,FALSE),"非偏遠")</f>
        <v>偏遠</v>
      </c>
      <c r="F176" s="33">
        <f>VLOOKUP(A176, '111_Raw'!$B:$D,3,FALSE)</f>
        <v>591</v>
      </c>
      <c r="G176" s="33">
        <f>VLOOKUP(A176, '113_Raw'!$B:$D,3,FALSE)</f>
        <v>552</v>
      </c>
      <c r="H176" s="35">
        <f t="shared" si="7"/>
        <v>-6.6000000000000003E-2</v>
      </c>
      <c r="I176" s="38" t="str">
        <f t="shared" si="6"/>
        <v>明顯下降</v>
      </c>
      <c r="J176" s="32" t="b">
        <f t="shared" si="8"/>
        <v>1</v>
      </c>
    </row>
    <row r="177" spans="1:10">
      <c r="A177" s="36">
        <v>110315</v>
      </c>
      <c r="B177" s="37" t="s">
        <v>29</v>
      </c>
      <c r="C177" s="37" t="s">
        <v>218</v>
      </c>
      <c r="D177" s="38" t="str">
        <f>VLOOKUP(B177, Mapping!$A:$B, 2, FALSE)</f>
        <v>南部</v>
      </c>
      <c r="E177" s="38" t="str">
        <f>IFERROR(VLOOKUP(A177, '113_Faraway'!$A:$C, 3,FALSE),"非偏遠")</f>
        <v>非偏遠</v>
      </c>
      <c r="F177" s="33">
        <f>VLOOKUP(A177, '111_Raw'!$B:$D,3,FALSE)</f>
        <v>920</v>
      </c>
      <c r="G177" s="33">
        <f>VLOOKUP(A177, '113_Raw'!$B:$D,3,FALSE)</f>
        <v>916</v>
      </c>
      <c r="H177" s="35">
        <f t="shared" si="7"/>
        <v>-4.0000000000000001E-3</v>
      </c>
      <c r="I177" s="38" t="str">
        <f t="shared" si="6"/>
        <v>小幅下降</v>
      </c>
      <c r="J177" s="32" t="b">
        <f t="shared" si="8"/>
        <v>0</v>
      </c>
    </row>
    <row r="178" spans="1:10">
      <c r="A178" s="36">
        <v>110317</v>
      </c>
      <c r="B178" s="37" t="s">
        <v>29</v>
      </c>
      <c r="C178" s="37" t="s">
        <v>219</v>
      </c>
      <c r="D178" s="38" t="str">
        <f>VLOOKUP(B178, Mapping!$A:$B, 2, FALSE)</f>
        <v>南部</v>
      </c>
      <c r="E178" s="38" t="str">
        <f>IFERROR(VLOOKUP(A178, '113_Faraway'!$A:$C, 3,FALSE),"非偏遠")</f>
        <v>非偏遠</v>
      </c>
      <c r="F178" s="33">
        <f>VLOOKUP(A178, '111_Raw'!$B:$D,3,FALSE)</f>
        <v>1204</v>
      </c>
      <c r="G178" s="33">
        <f>VLOOKUP(A178, '113_Raw'!$B:$D,3,FALSE)</f>
        <v>1199</v>
      </c>
      <c r="H178" s="35">
        <f t="shared" si="7"/>
        <v>-4.0000000000000001E-3</v>
      </c>
      <c r="I178" s="38" t="str">
        <f t="shared" si="6"/>
        <v>小幅下降</v>
      </c>
      <c r="J178" s="32" t="b">
        <f t="shared" si="8"/>
        <v>0</v>
      </c>
    </row>
    <row r="179" spans="1:10">
      <c r="A179" s="36">
        <v>110328</v>
      </c>
      <c r="B179" s="37" t="s">
        <v>29</v>
      </c>
      <c r="C179" s="37" t="s">
        <v>220</v>
      </c>
      <c r="D179" s="38" t="str">
        <f>VLOOKUP(B179, Mapping!$A:$B, 2, FALSE)</f>
        <v>南部</v>
      </c>
      <c r="E179" s="38" t="str">
        <f>IFERROR(VLOOKUP(A179, '113_Faraway'!$A:$C, 3,FALSE),"非偏遠")</f>
        <v>非偏遠</v>
      </c>
      <c r="F179" s="33">
        <f>VLOOKUP(A179, '111_Raw'!$B:$D,3,FALSE)</f>
        <v>408</v>
      </c>
      <c r="G179" s="33">
        <f>VLOOKUP(A179, '113_Raw'!$B:$D,3,FALSE)</f>
        <v>400</v>
      </c>
      <c r="H179" s="35">
        <f t="shared" si="7"/>
        <v>-0.02</v>
      </c>
      <c r="I179" s="38" t="str">
        <f t="shared" si="6"/>
        <v>小幅下降</v>
      </c>
      <c r="J179" s="32" t="b">
        <f t="shared" si="8"/>
        <v>1</v>
      </c>
    </row>
    <row r="180" spans="1:10">
      <c r="A180" s="36">
        <v>111313</v>
      </c>
      <c r="B180" s="37" t="s">
        <v>29</v>
      </c>
      <c r="C180" s="37" t="s">
        <v>221</v>
      </c>
      <c r="D180" s="38" t="str">
        <f>VLOOKUP(B180, Mapping!$A:$B, 2, FALSE)</f>
        <v>南部</v>
      </c>
      <c r="E180" s="38" t="str">
        <f>IFERROR(VLOOKUP(A180, '113_Faraway'!$A:$C, 3,FALSE),"非偏遠")</f>
        <v>非偏遠</v>
      </c>
      <c r="F180" s="33">
        <f>VLOOKUP(A180, '111_Raw'!$B:$D,3,FALSE)</f>
        <v>882</v>
      </c>
      <c r="G180" s="33">
        <f>VLOOKUP(A180, '113_Raw'!$B:$D,3,FALSE)</f>
        <v>814</v>
      </c>
      <c r="H180" s="35">
        <f t="shared" si="7"/>
        <v>-7.6999999999999999E-2</v>
      </c>
      <c r="I180" s="38" t="str">
        <f t="shared" si="6"/>
        <v>明顯下降</v>
      </c>
      <c r="J180" s="32" t="b">
        <f t="shared" si="8"/>
        <v>1</v>
      </c>
    </row>
    <row r="181" spans="1:10">
      <c r="A181" s="36">
        <v>111320</v>
      </c>
      <c r="B181" s="37" t="s">
        <v>29</v>
      </c>
      <c r="C181" s="37" t="s">
        <v>222</v>
      </c>
      <c r="D181" s="38" t="str">
        <f>VLOOKUP(B181, Mapping!$A:$B, 2, FALSE)</f>
        <v>南部</v>
      </c>
      <c r="E181" s="38" t="str">
        <f>IFERROR(VLOOKUP(A181, '113_Faraway'!$A:$C, 3,FALSE),"非偏遠")</f>
        <v>非偏遠</v>
      </c>
      <c r="F181" s="33">
        <f>VLOOKUP(A181, '111_Raw'!$B:$D,3,FALSE)</f>
        <v>1546</v>
      </c>
      <c r="G181" s="33">
        <f>VLOOKUP(A181, '113_Raw'!$B:$D,3,FALSE)</f>
        <v>1620</v>
      </c>
      <c r="H181" s="35">
        <f t="shared" si="7"/>
        <v>4.8000000000000001E-2</v>
      </c>
      <c r="I181" s="38" t="str">
        <f t="shared" si="6"/>
        <v>穩定或成長</v>
      </c>
      <c r="J181" s="32" t="b">
        <f t="shared" si="8"/>
        <v>0</v>
      </c>
    </row>
    <row r="182" spans="1:10">
      <c r="A182" s="36">
        <v>111321</v>
      </c>
      <c r="B182" s="37" t="s">
        <v>29</v>
      </c>
      <c r="C182" s="37" t="s">
        <v>223</v>
      </c>
      <c r="D182" s="38" t="str">
        <f>VLOOKUP(B182, Mapping!$A:$B, 2, FALSE)</f>
        <v>南部</v>
      </c>
      <c r="E182" s="38" t="str">
        <f>IFERROR(VLOOKUP(A182, '113_Faraway'!$A:$C, 3,FALSE),"非偏遠")</f>
        <v>非偏遠</v>
      </c>
      <c r="F182" s="33">
        <f>VLOOKUP(A182, '111_Raw'!$B:$D,3,FALSE)</f>
        <v>636</v>
      </c>
      <c r="G182" s="33">
        <f>VLOOKUP(A182, '113_Raw'!$B:$D,3,FALSE)</f>
        <v>521</v>
      </c>
      <c r="H182" s="35">
        <f t="shared" si="7"/>
        <v>-0.18099999999999999</v>
      </c>
      <c r="I182" s="38" t="str">
        <f t="shared" si="6"/>
        <v>明顯下降</v>
      </c>
      <c r="J182" s="32" t="b">
        <f t="shared" si="8"/>
        <v>1</v>
      </c>
    </row>
    <row r="183" spans="1:10">
      <c r="A183" s="36">
        <v>111322</v>
      </c>
      <c r="B183" s="37" t="s">
        <v>29</v>
      </c>
      <c r="C183" s="37" t="s">
        <v>224</v>
      </c>
      <c r="D183" s="38" t="str">
        <f>VLOOKUP(B183, Mapping!$A:$B, 2, FALSE)</f>
        <v>南部</v>
      </c>
      <c r="E183" s="38" t="str">
        <f>IFERROR(VLOOKUP(A183, '113_Faraway'!$A:$C, 3,FALSE),"非偏遠")</f>
        <v>非偏遠</v>
      </c>
      <c r="F183" s="33">
        <f>VLOOKUP(A183, '111_Raw'!$B:$D,3,FALSE)</f>
        <v>194</v>
      </c>
      <c r="G183" s="33">
        <f>VLOOKUP(A183, '113_Raw'!$B:$D,3,FALSE)</f>
        <v>170</v>
      </c>
      <c r="H183" s="35">
        <f t="shared" si="7"/>
        <v>-0.124</v>
      </c>
      <c r="I183" s="38" t="str">
        <f t="shared" si="6"/>
        <v>明顯下降</v>
      </c>
      <c r="J183" s="32" t="b">
        <f t="shared" si="8"/>
        <v>1</v>
      </c>
    </row>
    <row r="184" spans="1:10">
      <c r="A184" s="36">
        <v>111323</v>
      </c>
      <c r="B184" s="37" t="s">
        <v>29</v>
      </c>
      <c r="C184" s="37" t="s">
        <v>225</v>
      </c>
      <c r="D184" s="38" t="str">
        <f>VLOOKUP(B184, Mapping!$A:$B, 2, FALSE)</f>
        <v>南部</v>
      </c>
      <c r="E184" s="38" t="str">
        <f>IFERROR(VLOOKUP(A184, '113_Faraway'!$A:$C, 3,FALSE),"非偏遠")</f>
        <v>非偏遠</v>
      </c>
      <c r="F184" s="33">
        <f>VLOOKUP(A184, '111_Raw'!$B:$D,3,FALSE)</f>
        <v>829</v>
      </c>
      <c r="G184" s="33">
        <f>VLOOKUP(A184, '113_Raw'!$B:$D,3,FALSE)</f>
        <v>820</v>
      </c>
      <c r="H184" s="35">
        <f t="shared" si="7"/>
        <v>-1.0999999999999999E-2</v>
      </c>
      <c r="I184" s="38" t="str">
        <f t="shared" si="6"/>
        <v>小幅下降</v>
      </c>
      <c r="J184" s="32" t="b">
        <f t="shared" si="8"/>
        <v>0</v>
      </c>
    </row>
    <row r="185" spans="1:10">
      <c r="A185" s="36">
        <v>111326</v>
      </c>
      <c r="B185" s="37" t="s">
        <v>29</v>
      </c>
      <c r="C185" s="37" t="s">
        <v>226</v>
      </c>
      <c r="D185" s="38" t="str">
        <f>VLOOKUP(B185, Mapping!$A:$B, 2, FALSE)</f>
        <v>南部</v>
      </c>
      <c r="E185" s="38" t="str">
        <f>IFERROR(VLOOKUP(A185, '113_Faraway'!$A:$C, 3,FALSE),"非偏遠")</f>
        <v>非偏遠</v>
      </c>
      <c r="F185" s="33">
        <f>VLOOKUP(A185, '111_Raw'!$B:$D,3,FALSE)</f>
        <v>24</v>
      </c>
      <c r="G185" s="33">
        <f>VLOOKUP(A185, '113_Raw'!$B:$D,3,FALSE)</f>
        <v>9</v>
      </c>
      <c r="H185" s="35">
        <f t="shared" si="7"/>
        <v>-0.625</v>
      </c>
      <c r="I185" s="38" t="str">
        <f t="shared" si="6"/>
        <v>明顯下降</v>
      </c>
      <c r="J185" s="32" t="b">
        <f t="shared" si="8"/>
        <v>1</v>
      </c>
    </row>
    <row r="186" spans="1:10">
      <c r="A186" s="36">
        <v>114306</v>
      </c>
      <c r="B186" s="37" t="s">
        <v>29</v>
      </c>
      <c r="C186" s="37" t="s">
        <v>227</v>
      </c>
      <c r="D186" s="38" t="str">
        <f>VLOOKUP(B186, Mapping!$A:$B, 2, FALSE)</f>
        <v>南部</v>
      </c>
      <c r="E186" s="38" t="str">
        <f>IFERROR(VLOOKUP(A186, '113_Faraway'!$A:$C, 3,FALSE),"非偏遠")</f>
        <v>非偏遠</v>
      </c>
      <c r="F186" s="33">
        <f>VLOOKUP(A186, '111_Raw'!$B:$D,3,FALSE)</f>
        <v>641</v>
      </c>
      <c r="G186" s="33">
        <f>VLOOKUP(A186, '113_Raw'!$B:$D,3,FALSE)</f>
        <v>646</v>
      </c>
      <c r="H186" s="35">
        <f t="shared" si="7"/>
        <v>8.0000000000000002E-3</v>
      </c>
      <c r="I186" s="38" t="str">
        <f t="shared" si="6"/>
        <v>穩定或成長</v>
      </c>
      <c r="J186" s="32" t="b">
        <f t="shared" si="8"/>
        <v>0</v>
      </c>
    </row>
    <row r="187" spans="1:10">
      <c r="A187" s="36">
        <v>114307</v>
      </c>
      <c r="B187" s="37" t="s">
        <v>29</v>
      </c>
      <c r="C187" s="37" t="s">
        <v>228</v>
      </c>
      <c r="D187" s="38" t="str">
        <f>VLOOKUP(B187, Mapping!$A:$B, 2, FALSE)</f>
        <v>南部</v>
      </c>
      <c r="E187" s="38" t="str">
        <f>IFERROR(VLOOKUP(A187, '113_Faraway'!$A:$C, 3,FALSE),"非偏遠")</f>
        <v>非偏遠</v>
      </c>
      <c r="F187" s="33">
        <f>VLOOKUP(A187, '111_Raw'!$B:$D,3,FALSE)</f>
        <v>395</v>
      </c>
      <c r="G187" s="33">
        <f>VLOOKUP(A187, '113_Raw'!$B:$D,3,FALSE)</f>
        <v>395</v>
      </c>
      <c r="H187" s="35">
        <f t="shared" si="7"/>
        <v>0</v>
      </c>
      <c r="I187" s="38" t="str">
        <f t="shared" si="6"/>
        <v>穩定或成長</v>
      </c>
      <c r="J187" s="32" t="b">
        <f t="shared" si="8"/>
        <v>0</v>
      </c>
    </row>
    <row r="188" spans="1:10">
      <c r="A188" s="36">
        <v>120303</v>
      </c>
      <c r="B188" s="37" t="s">
        <v>30</v>
      </c>
      <c r="C188" s="37" t="s">
        <v>229</v>
      </c>
      <c r="D188" s="38" t="str">
        <f>VLOOKUP(B188, Mapping!$A:$B, 2, FALSE)</f>
        <v>南部</v>
      </c>
      <c r="E188" s="38" t="str">
        <f>IFERROR(VLOOKUP(A188, '113_Faraway'!$A:$C, 3,FALSE),"非偏遠")</f>
        <v>非偏遠</v>
      </c>
      <c r="F188" s="33">
        <f>VLOOKUP(A188, '111_Raw'!$B:$D,3,FALSE)</f>
        <v>1908</v>
      </c>
      <c r="G188" s="33">
        <f>VLOOKUP(A188, '113_Raw'!$B:$D,3,FALSE)</f>
        <v>1918</v>
      </c>
      <c r="H188" s="35">
        <f t="shared" si="7"/>
        <v>5.0000000000000001E-3</v>
      </c>
      <c r="I188" s="38" t="str">
        <f t="shared" si="6"/>
        <v>穩定或成長</v>
      </c>
      <c r="J188" s="32" t="b">
        <f t="shared" si="8"/>
        <v>0</v>
      </c>
    </row>
    <row r="189" spans="1:10">
      <c r="A189" s="36">
        <v>120304</v>
      </c>
      <c r="B189" s="37" t="s">
        <v>30</v>
      </c>
      <c r="C189" s="37" t="s">
        <v>230</v>
      </c>
      <c r="D189" s="38" t="str">
        <f>VLOOKUP(B189, Mapping!$A:$B, 2, FALSE)</f>
        <v>南部</v>
      </c>
      <c r="E189" s="38" t="str">
        <f>IFERROR(VLOOKUP(A189, '113_Faraway'!$A:$C, 3,FALSE),"非偏遠")</f>
        <v>非偏遠</v>
      </c>
      <c r="F189" s="33">
        <f>VLOOKUP(A189, '111_Raw'!$B:$D,3,FALSE)</f>
        <v>1391</v>
      </c>
      <c r="G189" s="33">
        <f>VLOOKUP(A189, '113_Raw'!$B:$D,3,FALSE)</f>
        <v>1401</v>
      </c>
      <c r="H189" s="35">
        <f t="shared" si="7"/>
        <v>7.0000000000000001E-3</v>
      </c>
      <c r="I189" s="38" t="str">
        <f t="shared" si="6"/>
        <v>穩定或成長</v>
      </c>
      <c r="J189" s="32" t="b">
        <f t="shared" si="8"/>
        <v>0</v>
      </c>
    </row>
    <row r="190" spans="1:10">
      <c r="A190" s="36">
        <v>120311</v>
      </c>
      <c r="B190" s="37" t="s">
        <v>30</v>
      </c>
      <c r="C190" s="37" t="s">
        <v>231</v>
      </c>
      <c r="D190" s="38" t="str">
        <f>VLOOKUP(B190, Mapping!$A:$B, 2, FALSE)</f>
        <v>南部</v>
      </c>
      <c r="E190" s="38" t="str">
        <f>IFERROR(VLOOKUP(A190, '113_Faraway'!$A:$C, 3,FALSE),"非偏遠")</f>
        <v>非偏遠</v>
      </c>
      <c r="F190" s="33">
        <f>VLOOKUP(A190, '111_Raw'!$B:$D,3,FALSE)</f>
        <v>671</v>
      </c>
      <c r="G190" s="33">
        <f>VLOOKUP(A190, '113_Raw'!$B:$D,3,FALSE)</f>
        <v>629</v>
      </c>
      <c r="H190" s="35">
        <f t="shared" si="7"/>
        <v>-6.3E-2</v>
      </c>
      <c r="I190" s="38" t="str">
        <f t="shared" si="6"/>
        <v>明顯下降</v>
      </c>
      <c r="J190" s="32" t="b">
        <f t="shared" si="8"/>
        <v>1</v>
      </c>
    </row>
    <row r="191" spans="1:10">
      <c r="A191" s="36">
        <v>120319</v>
      </c>
      <c r="B191" s="37" t="s">
        <v>30</v>
      </c>
      <c r="C191" s="37" t="s">
        <v>232</v>
      </c>
      <c r="D191" s="38" t="str">
        <f>VLOOKUP(B191, Mapping!$A:$B, 2, FALSE)</f>
        <v>南部</v>
      </c>
      <c r="E191" s="38" t="str">
        <f>IFERROR(VLOOKUP(A191, '113_Faraway'!$A:$C, 3,FALSE),"非偏遠")</f>
        <v>非偏遠</v>
      </c>
      <c r="F191" s="33">
        <f>VLOOKUP(A191, '111_Raw'!$B:$D,3,FALSE)</f>
        <v>1933</v>
      </c>
      <c r="G191" s="33">
        <f>VLOOKUP(A191, '113_Raw'!$B:$D,3,FALSE)</f>
        <v>1930</v>
      </c>
      <c r="H191" s="35">
        <f t="shared" si="7"/>
        <v>-2E-3</v>
      </c>
      <c r="I191" s="38" t="str">
        <f t="shared" ref="I191:I253" si="9">IF(H191&gt;=0,"穩定或成長",IF(H191&gt;-0.05,"小幅下降","明顯下降"))</f>
        <v>小幅下降</v>
      </c>
      <c r="J191" s="32" t="b">
        <f t="shared" si="8"/>
        <v>0</v>
      </c>
    </row>
    <row r="192" spans="1:10">
      <c r="A192" s="36">
        <v>121302</v>
      </c>
      <c r="B192" s="37" t="s">
        <v>30</v>
      </c>
      <c r="C192" s="37" t="s">
        <v>233</v>
      </c>
      <c r="D192" s="38" t="str">
        <f>VLOOKUP(B192, Mapping!$A:$B, 2, FALSE)</f>
        <v>南部</v>
      </c>
      <c r="E192" s="38" t="str">
        <f>IFERROR(VLOOKUP(A192, '113_Faraway'!$A:$C, 3,FALSE),"非偏遠")</f>
        <v>非偏遠</v>
      </c>
      <c r="F192" s="33">
        <f>VLOOKUP(A192, '111_Raw'!$B:$D,3,FALSE)</f>
        <v>11</v>
      </c>
      <c r="G192" s="33">
        <f>VLOOKUP(A192, '113_Raw'!$B:$D,3,FALSE)</f>
        <v>19</v>
      </c>
      <c r="H192" s="35">
        <f t="shared" si="7"/>
        <v>0.72699999999999998</v>
      </c>
      <c r="I192" s="38" t="str">
        <f t="shared" si="9"/>
        <v>穩定或成長</v>
      </c>
      <c r="J192" s="32" t="b">
        <f t="shared" si="8"/>
        <v>0</v>
      </c>
    </row>
    <row r="193" spans="1:10">
      <c r="A193" s="36">
        <v>121306</v>
      </c>
      <c r="B193" s="37" t="s">
        <v>30</v>
      </c>
      <c r="C193" s="37" t="s">
        <v>234</v>
      </c>
      <c r="D193" s="38" t="str">
        <f>VLOOKUP(B193, Mapping!$A:$B, 2, FALSE)</f>
        <v>南部</v>
      </c>
      <c r="E193" s="38" t="str">
        <f>IFERROR(VLOOKUP(A193, '113_Faraway'!$A:$C, 3,FALSE),"非偏遠")</f>
        <v>非偏遠</v>
      </c>
      <c r="F193" s="33">
        <f>VLOOKUP(A193, '111_Raw'!$B:$D,3,FALSE)</f>
        <v>232</v>
      </c>
      <c r="G193" s="33">
        <f>VLOOKUP(A193, '113_Raw'!$B:$D,3,FALSE)</f>
        <v>111</v>
      </c>
      <c r="H193" s="35">
        <f t="shared" si="7"/>
        <v>-0.52200000000000002</v>
      </c>
      <c r="I193" s="38" t="str">
        <f t="shared" si="9"/>
        <v>明顯下降</v>
      </c>
      <c r="J193" s="32" t="b">
        <f t="shared" si="8"/>
        <v>1</v>
      </c>
    </row>
    <row r="194" spans="1:10">
      <c r="A194" s="36">
        <v>121307</v>
      </c>
      <c r="B194" s="37" t="s">
        <v>30</v>
      </c>
      <c r="C194" s="37" t="s">
        <v>235</v>
      </c>
      <c r="D194" s="38" t="str">
        <f>VLOOKUP(B194, Mapping!$A:$B, 2, FALSE)</f>
        <v>南部</v>
      </c>
      <c r="E194" s="38" t="str">
        <f>IFERROR(VLOOKUP(A194, '113_Faraway'!$A:$C, 3,FALSE),"非偏遠")</f>
        <v>非偏遠</v>
      </c>
      <c r="F194" s="33">
        <f>VLOOKUP(A194, '111_Raw'!$B:$D,3,FALSE)</f>
        <v>371</v>
      </c>
      <c r="G194" s="33">
        <f>VLOOKUP(A194, '113_Raw'!$B:$D,3,FALSE)</f>
        <v>326</v>
      </c>
      <c r="H194" s="35">
        <f t="shared" si="7"/>
        <v>-0.121</v>
      </c>
      <c r="I194" s="38" t="str">
        <f t="shared" si="9"/>
        <v>明顯下降</v>
      </c>
      <c r="J194" s="32" t="b">
        <f t="shared" si="8"/>
        <v>1</v>
      </c>
    </row>
    <row r="195" spans="1:10">
      <c r="A195" s="36">
        <v>121318</v>
      </c>
      <c r="B195" s="37" t="s">
        <v>30</v>
      </c>
      <c r="C195" s="37" t="s">
        <v>236</v>
      </c>
      <c r="D195" s="38" t="str">
        <f>VLOOKUP(B195, Mapping!$A:$B, 2, FALSE)</f>
        <v>南部</v>
      </c>
      <c r="E195" s="38" t="str">
        <f>IFERROR(VLOOKUP(A195, '113_Faraway'!$A:$C, 3,FALSE),"非偏遠")</f>
        <v>非偏遠</v>
      </c>
      <c r="F195" s="33">
        <f>VLOOKUP(A195, '111_Raw'!$B:$D,3,FALSE)</f>
        <v>289</v>
      </c>
      <c r="G195" s="33">
        <f>VLOOKUP(A195, '113_Raw'!$B:$D,3,FALSE)</f>
        <v>297</v>
      </c>
      <c r="H195" s="35">
        <f t="shared" ref="H195:H258" si="10">ROUND((G195-F195)/F195,3)</f>
        <v>2.8000000000000001E-2</v>
      </c>
      <c r="I195" s="38" t="str">
        <f t="shared" si="9"/>
        <v>穩定或成長</v>
      </c>
      <c r="J195" s="32" t="b">
        <f t="shared" ref="J195:J258" si="11">IF(H195 &lt; $K$2, TRUE, FALSE)</f>
        <v>0</v>
      </c>
    </row>
    <row r="196" spans="1:10">
      <c r="A196" s="36">
        <v>121320</v>
      </c>
      <c r="B196" s="37" t="s">
        <v>30</v>
      </c>
      <c r="C196" s="37" t="s">
        <v>237</v>
      </c>
      <c r="D196" s="38" t="str">
        <f>VLOOKUP(B196, Mapping!$A:$B, 2, FALSE)</f>
        <v>南部</v>
      </c>
      <c r="E196" s="38" t="str">
        <f>IFERROR(VLOOKUP(A196, '113_Faraway'!$A:$C, 3,FALSE),"非偏遠")</f>
        <v>非偏遠</v>
      </c>
      <c r="F196" s="33">
        <f>VLOOKUP(A196, '111_Raw'!$B:$D,3,FALSE)</f>
        <v>186</v>
      </c>
      <c r="G196" s="33">
        <f>VLOOKUP(A196, '113_Raw'!$B:$D,3,FALSE)</f>
        <v>190</v>
      </c>
      <c r="H196" s="35">
        <f t="shared" si="10"/>
        <v>2.1999999999999999E-2</v>
      </c>
      <c r="I196" s="38" t="str">
        <f t="shared" si="9"/>
        <v>穩定或成長</v>
      </c>
      <c r="J196" s="32" t="b">
        <f t="shared" si="11"/>
        <v>0</v>
      </c>
    </row>
    <row r="197" spans="1:10">
      <c r="A197" s="36">
        <v>124302</v>
      </c>
      <c r="B197" s="37" t="s">
        <v>30</v>
      </c>
      <c r="C197" s="37" t="s">
        <v>238</v>
      </c>
      <c r="D197" s="38" t="str">
        <f>VLOOKUP(B197, Mapping!$A:$B, 2, FALSE)</f>
        <v>南部</v>
      </c>
      <c r="E197" s="38" t="str">
        <f>IFERROR(VLOOKUP(A197, '113_Faraway'!$A:$C, 3,FALSE),"非偏遠")</f>
        <v>非偏遠</v>
      </c>
      <c r="F197" s="33">
        <f>VLOOKUP(A197, '111_Raw'!$B:$D,3,FALSE)</f>
        <v>735</v>
      </c>
      <c r="G197" s="33">
        <f>VLOOKUP(A197, '113_Raw'!$B:$D,3,FALSE)</f>
        <v>750</v>
      </c>
      <c r="H197" s="35">
        <f t="shared" si="10"/>
        <v>0.02</v>
      </c>
      <c r="I197" s="38" t="str">
        <f t="shared" si="9"/>
        <v>穩定或成長</v>
      </c>
      <c r="J197" s="32" t="b">
        <f t="shared" si="11"/>
        <v>0</v>
      </c>
    </row>
    <row r="198" spans="1:10">
      <c r="A198" s="36">
        <v>124311</v>
      </c>
      <c r="B198" s="37" t="s">
        <v>30</v>
      </c>
      <c r="C198" s="37" t="s">
        <v>239</v>
      </c>
      <c r="D198" s="38" t="str">
        <f>VLOOKUP(B198, Mapping!$A:$B, 2, FALSE)</f>
        <v>南部</v>
      </c>
      <c r="E198" s="38" t="str">
        <f>IFERROR(VLOOKUP(A198, '113_Faraway'!$A:$C, 3,FALSE),"非偏遠")</f>
        <v>非偏遠</v>
      </c>
      <c r="F198" s="33">
        <f>VLOOKUP(A198, '111_Raw'!$B:$D,3,FALSE)</f>
        <v>532</v>
      </c>
      <c r="G198" s="33">
        <f>VLOOKUP(A198, '113_Raw'!$B:$D,3,FALSE)</f>
        <v>531</v>
      </c>
      <c r="H198" s="35">
        <f t="shared" si="10"/>
        <v>-2E-3</v>
      </c>
      <c r="I198" s="38" t="str">
        <f t="shared" si="9"/>
        <v>小幅下降</v>
      </c>
      <c r="J198" s="32" t="b">
        <f t="shared" si="11"/>
        <v>0</v>
      </c>
    </row>
    <row r="199" spans="1:10">
      <c r="A199" s="36">
        <v>124313</v>
      </c>
      <c r="B199" s="37" t="s">
        <v>30</v>
      </c>
      <c r="C199" s="37" t="s">
        <v>240</v>
      </c>
      <c r="D199" s="38" t="str">
        <f>VLOOKUP(B199, Mapping!$A:$B, 2, FALSE)</f>
        <v>南部</v>
      </c>
      <c r="E199" s="38" t="str">
        <f>IFERROR(VLOOKUP(A199, '113_Faraway'!$A:$C, 3,FALSE),"非偏遠")</f>
        <v>非偏遠</v>
      </c>
      <c r="F199" s="33">
        <f>VLOOKUP(A199, '111_Raw'!$B:$D,3,FALSE)</f>
        <v>567</v>
      </c>
      <c r="G199" s="33">
        <f>VLOOKUP(A199, '113_Raw'!$B:$D,3,FALSE)</f>
        <v>567</v>
      </c>
      <c r="H199" s="35">
        <f t="shared" si="10"/>
        <v>0</v>
      </c>
      <c r="I199" s="38" t="str">
        <f t="shared" si="9"/>
        <v>穩定或成長</v>
      </c>
      <c r="J199" s="32" t="b">
        <f t="shared" si="11"/>
        <v>0</v>
      </c>
    </row>
    <row r="200" spans="1:10">
      <c r="A200" s="36">
        <v>124322</v>
      </c>
      <c r="B200" s="37" t="s">
        <v>30</v>
      </c>
      <c r="C200" s="37" t="s">
        <v>241</v>
      </c>
      <c r="D200" s="38" t="str">
        <f>VLOOKUP(B200, Mapping!$A:$B, 2, FALSE)</f>
        <v>南部</v>
      </c>
      <c r="E200" s="38" t="str">
        <f>IFERROR(VLOOKUP(A200, '113_Faraway'!$A:$C, 3,FALSE),"非偏遠")</f>
        <v>非偏遠</v>
      </c>
      <c r="F200" s="33">
        <f>VLOOKUP(A200, '111_Raw'!$B:$D,3,FALSE)</f>
        <v>550</v>
      </c>
      <c r="G200" s="33">
        <f>VLOOKUP(A200, '113_Raw'!$B:$D,3,FALSE)</f>
        <v>501</v>
      </c>
      <c r="H200" s="35">
        <f t="shared" si="10"/>
        <v>-8.8999999999999996E-2</v>
      </c>
      <c r="I200" s="38" t="str">
        <f t="shared" si="9"/>
        <v>明顯下降</v>
      </c>
      <c r="J200" s="32" t="b">
        <f t="shared" si="11"/>
        <v>1</v>
      </c>
    </row>
    <row r="201" spans="1:10">
      <c r="A201" s="36">
        <v>124333</v>
      </c>
      <c r="B201" s="37" t="s">
        <v>30</v>
      </c>
      <c r="C201" s="37" t="s">
        <v>242</v>
      </c>
      <c r="D201" s="38" t="str">
        <f>VLOOKUP(B201, Mapping!$A:$B, 2, FALSE)</f>
        <v>南部</v>
      </c>
      <c r="E201" s="38" t="str">
        <f>IFERROR(VLOOKUP(A201, '113_Faraway'!$A:$C, 3,FALSE),"非偏遠")</f>
        <v>極偏</v>
      </c>
      <c r="F201" s="33">
        <f>VLOOKUP(A201, '111_Raw'!$B:$D,3,FALSE)</f>
        <v>93</v>
      </c>
      <c r="G201" s="33">
        <f>VLOOKUP(A201, '113_Raw'!$B:$D,3,FALSE)</f>
        <v>77</v>
      </c>
      <c r="H201" s="35">
        <f t="shared" si="10"/>
        <v>-0.17199999999999999</v>
      </c>
      <c r="I201" s="38" t="str">
        <f t="shared" si="9"/>
        <v>明顯下降</v>
      </c>
      <c r="J201" s="32" t="b">
        <f t="shared" si="11"/>
        <v>1</v>
      </c>
    </row>
    <row r="202" spans="1:10">
      <c r="A202" s="36">
        <v>124340</v>
      </c>
      <c r="B202" s="37" t="s">
        <v>30</v>
      </c>
      <c r="C202" s="37" t="s">
        <v>243</v>
      </c>
      <c r="D202" s="38" t="str">
        <f>VLOOKUP(B202, Mapping!$A:$B, 2, FALSE)</f>
        <v>南部</v>
      </c>
      <c r="E202" s="38" t="str">
        <f>IFERROR(VLOOKUP(A202, '113_Faraway'!$A:$C, 3,FALSE),"非偏遠")</f>
        <v>非偏遠</v>
      </c>
      <c r="F202" s="33">
        <f>VLOOKUP(A202, '111_Raw'!$B:$D,3,FALSE)</f>
        <v>700</v>
      </c>
      <c r="G202" s="33">
        <f>VLOOKUP(A202, '113_Raw'!$B:$D,3,FALSE)</f>
        <v>686</v>
      </c>
      <c r="H202" s="35">
        <f t="shared" si="10"/>
        <v>-0.02</v>
      </c>
      <c r="I202" s="38" t="str">
        <f t="shared" si="9"/>
        <v>小幅下降</v>
      </c>
      <c r="J202" s="32" t="b">
        <f t="shared" si="11"/>
        <v>1</v>
      </c>
    </row>
    <row r="203" spans="1:10">
      <c r="A203" s="36">
        <v>130302</v>
      </c>
      <c r="B203" s="37" t="s">
        <v>31</v>
      </c>
      <c r="C203" s="37" t="s">
        <v>244</v>
      </c>
      <c r="D203" s="38" t="str">
        <f>VLOOKUP(B203, Mapping!$A:$B, 2, FALSE)</f>
        <v>南部</v>
      </c>
      <c r="E203" s="38" t="str">
        <f>IFERROR(VLOOKUP(A203, '113_Faraway'!$A:$C, 3,FALSE),"非偏遠")</f>
        <v>非偏遠</v>
      </c>
      <c r="F203" s="33">
        <f>VLOOKUP(A203, '111_Raw'!$B:$D,3,FALSE)</f>
        <v>1528</v>
      </c>
      <c r="G203" s="33">
        <f>VLOOKUP(A203, '113_Raw'!$B:$D,3,FALSE)</f>
        <v>1568</v>
      </c>
      <c r="H203" s="35">
        <f t="shared" si="10"/>
        <v>2.5999999999999999E-2</v>
      </c>
      <c r="I203" s="38" t="str">
        <f t="shared" si="9"/>
        <v>穩定或成長</v>
      </c>
      <c r="J203" s="32" t="b">
        <f t="shared" si="11"/>
        <v>0</v>
      </c>
    </row>
    <row r="204" spans="1:10">
      <c r="A204" s="36">
        <v>130305</v>
      </c>
      <c r="B204" s="37" t="s">
        <v>31</v>
      </c>
      <c r="C204" s="37" t="s">
        <v>245</v>
      </c>
      <c r="D204" s="38" t="str">
        <f>VLOOKUP(B204, Mapping!$A:$B, 2, FALSE)</f>
        <v>南部</v>
      </c>
      <c r="E204" s="38" t="str">
        <f>IFERROR(VLOOKUP(A204, '113_Faraway'!$A:$C, 3,FALSE),"非偏遠")</f>
        <v>非偏遠</v>
      </c>
      <c r="F204" s="33">
        <f>VLOOKUP(A204, '111_Raw'!$B:$D,3,FALSE)</f>
        <v>1731</v>
      </c>
      <c r="G204" s="33">
        <f>VLOOKUP(A204, '113_Raw'!$B:$D,3,FALSE)</f>
        <v>1431</v>
      </c>
      <c r="H204" s="35">
        <f t="shared" si="10"/>
        <v>-0.17299999999999999</v>
      </c>
      <c r="I204" s="38" t="str">
        <f t="shared" si="9"/>
        <v>明顯下降</v>
      </c>
      <c r="J204" s="32" t="b">
        <f t="shared" si="11"/>
        <v>1</v>
      </c>
    </row>
    <row r="205" spans="1:10">
      <c r="A205" s="36">
        <v>130306</v>
      </c>
      <c r="B205" s="37" t="s">
        <v>31</v>
      </c>
      <c r="C205" s="37" t="s">
        <v>246</v>
      </c>
      <c r="D205" s="38" t="str">
        <f>VLOOKUP(B205, Mapping!$A:$B, 2, FALSE)</f>
        <v>南部</v>
      </c>
      <c r="E205" s="38" t="str">
        <f>IFERROR(VLOOKUP(A205, '113_Faraway'!$A:$C, 3,FALSE),"非偏遠")</f>
        <v>非偏遠</v>
      </c>
      <c r="F205" s="33">
        <f>VLOOKUP(A205, '111_Raw'!$B:$D,3,FALSE)</f>
        <v>1365</v>
      </c>
      <c r="G205" s="33">
        <f>VLOOKUP(A205, '113_Raw'!$B:$D,3,FALSE)</f>
        <v>1306</v>
      </c>
      <c r="H205" s="35">
        <f t="shared" si="10"/>
        <v>-4.2999999999999997E-2</v>
      </c>
      <c r="I205" s="38" t="str">
        <f t="shared" si="9"/>
        <v>小幅下降</v>
      </c>
      <c r="J205" s="32" t="b">
        <f t="shared" si="11"/>
        <v>1</v>
      </c>
    </row>
    <row r="206" spans="1:10">
      <c r="A206" s="36">
        <v>130322</v>
      </c>
      <c r="B206" s="37" t="s">
        <v>31</v>
      </c>
      <c r="C206" s="37" t="s">
        <v>247</v>
      </c>
      <c r="D206" s="38" t="str">
        <f>VLOOKUP(B206, Mapping!$A:$B, 2, FALSE)</f>
        <v>南部</v>
      </c>
      <c r="E206" s="38" t="str">
        <f>IFERROR(VLOOKUP(A206, '113_Faraway'!$A:$C, 3,FALSE),"非偏遠")</f>
        <v>非偏遠</v>
      </c>
      <c r="F206" s="33">
        <f>VLOOKUP(A206, '111_Raw'!$B:$D,3,FALSE)</f>
        <v>777</v>
      </c>
      <c r="G206" s="33">
        <f>VLOOKUP(A206, '113_Raw'!$B:$D,3,FALSE)</f>
        <v>665</v>
      </c>
      <c r="H206" s="35">
        <f t="shared" si="10"/>
        <v>-0.14399999999999999</v>
      </c>
      <c r="I206" s="38" t="str">
        <f t="shared" si="9"/>
        <v>明顯下降</v>
      </c>
      <c r="J206" s="32" t="b">
        <f t="shared" si="11"/>
        <v>1</v>
      </c>
    </row>
    <row r="207" spans="1:10">
      <c r="A207" s="36">
        <v>131302</v>
      </c>
      <c r="B207" s="37" t="s">
        <v>31</v>
      </c>
      <c r="C207" s="37" t="s">
        <v>248</v>
      </c>
      <c r="D207" s="38" t="str">
        <f>VLOOKUP(B207, Mapping!$A:$B, 2, FALSE)</f>
        <v>南部</v>
      </c>
      <c r="E207" s="38" t="str">
        <f>IFERROR(VLOOKUP(A207, '113_Faraway'!$A:$C, 3,FALSE),"非偏遠")</f>
        <v>非偏遠</v>
      </c>
      <c r="F207" s="33">
        <f>VLOOKUP(A207, '111_Raw'!$B:$D,3,FALSE)</f>
        <v>20</v>
      </c>
      <c r="G207" s="33">
        <f>VLOOKUP(A207, '113_Raw'!$B:$D,3,FALSE)</f>
        <v>3</v>
      </c>
      <c r="H207" s="35">
        <f t="shared" si="10"/>
        <v>-0.85</v>
      </c>
      <c r="I207" s="38" t="str">
        <f t="shared" si="9"/>
        <v>明顯下降</v>
      </c>
      <c r="J207" s="32" t="b">
        <f t="shared" si="11"/>
        <v>1</v>
      </c>
    </row>
    <row r="208" spans="1:10">
      <c r="A208" s="36">
        <v>131307</v>
      </c>
      <c r="B208" s="37" t="s">
        <v>31</v>
      </c>
      <c r="C208" s="37" t="s">
        <v>249</v>
      </c>
      <c r="D208" s="38" t="str">
        <f>VLOOKUP(B208, Mapping!$A:$B, 2, FALSE)</f>
        <v>南部</v>
      </c>
      <c r="E208" s="38" t="str">
        <f>IFERROR(VLOOKUP(A208, '113_Faraway'!$A:$C, 3,FALSE),"非偏遠")</f>
        <v>非偏遠</v>
      </c>
      <c r="F208" s="33">
        <f>VLOOKUP(A208, '111_Raw'!$B:$D,3,FALSE)</f>
        <v>1852</v>
      </c>
      <c r="G208" s="33">
        <f>VLOOKUP(A208, '113_Raw'!$B:$D,3,FALSE)</f>
        <v>1709</v>
      </c>
      <c r="H208" s="35">
        <f t="shared" si="10"/>
        <v>-7.6999999999999999E-2</v>
      </c>
      <c r="I208" s="38" t="str">
        <f t="shared" si="9"/>
        <v>明顯下降</v>
      </c>
      <c r="J208" s="32" t="b">
        <f t="shared" si="11"/>
        <v>1</v>
      </c>
    </row>
    <row r="209" spans="1:10">
      <c r="A209" s="36">
        <v>131308</v>
      </c>
      <c r="B209" s="37" t="s">
        <v>31</v>
      </c>
      <c r="C209" s="37" t="s">
        <v>250</v>
      </c>
      <c r="D209" s="38" t="str">
        <f>VLOOKUP(B209, Mapping!$A:$B, 2, FALSE)</f>
        <v>南部</v>
      </c>
      <c r="E209" s="38" t="str">
        <f>IFERROR(VLOOKUP(A209, '113_Faraway'!$A:$C, 3,FALSE),"非偏遠")</f>
        <v>非偏遠</v>
      </c>
      <c r="F209" s="33">
        <f>VLOOKUP(A209, '111_Raw'!$B:$D,3,FALSE)</f>
        <v>219</v>
      </c>
      <c r="G209" s="33">
        <f>VLOOKUP(A209, '113_Raw'!$B:$D,3,FALSE)</f>
        <v>109</v>
      </c>
      <c r="H209" s="35">
        <f t="shared" si="10"/>
        <v>-0.502</v>
      </c>
      <c r="I209" s="38" t="str">
        <f t="shared" si="9"/>
        <v>明顯下降</v>
      </c>
      <c r="J209" s="32" t="b">
        <f t="shared" si="11"/>
        <v>1</v>
      </c>
    </row>
    <row r="210" spans="1:10">
      <c r="A210" s="36">
        <v>131311</v>
      </c>
      <c r="B210" s="37" t="s">
        <v>31</v>
      </c>
      <c r="C210" s="37" t="s">
        <v>251</v>
      </c>
      <c r="D210" s="38" t="str">
        <f>VLOOKUP(B210, Mapping!$A:$B, 2, FALSE)</f>
        <v>南部</v>
      </c>
      <c r="E210" s="38" t="str">
        <f>IFERROR(VLOOKUP(A210, '113_Faraway'!$A:$C, 3,FALSE),"非偏遠")</f>
        <v>非偏遠</v>
      </c>
      <c r="F210" s="33">
        <f>VLOOKUP(A210, '111_Raw'!$B:$D,3,FALSE)</f>
        <v>549</v>
      </c>
      <c r="G210" s="33">
        <f>VLOOKUP(A210, '113_Raw'!$B:$D,3,FALSE)</f>
        <v>484</v>
      </c>
      <c r="H210" s="35">
        <f t="shared" si="10"/>
        <v>-0.11799999999999999</v>
      </c>
      <c r="I210" s="38" t="str">
        <f t="shared" si="9"/>
        <v>明顯下降</v>
      </c>
      <c r="J210" s="32" t="b">
        <f t="shared" si="11"/>
        <v>1</v>
      </c>
    </row>
    <row r="211" spans="1:10">
      <c r="A211" s="36">
        <v>134304</v>
      </c>
      <c r="B211" s="37" t="s">
        <v>31</v>
      </c>
      <c r="C211" s="37" t="s">
        <v>145</v>
      </c>
      <c r="D211" s="38" t="str">
        <f>VLOOKUP(B211, Mapping!$A:$B, 2, FALSE)</f>
        <v>南部</v>
      </c>
      <c r="E211" s="38" t="str">
        <f>IFERROR(VLOOKUP(A211, '113_Faraway'!$A:$C, 3,FALSE),"非偏遠")</f>
        <v>非偏遠</v>
      </c>
      <c r="F211" s="33">
        <f>VLOOKUP(A211, '111_Raw'!$B:$D,3,FALSE)</f>
        <v>621</v>
      </c>
      <c r="G211" s="33">
        <f>VLOOKUP(A211, '113_Raw'!$B:$D,3,FALSE)</f>
        <v>540</v>
      </c>
      <c r="H211" s="35">
        <f t="shared" si="10"/>
        <v>-0.13</v>
      </c>
      <c r="I211" s="38" t="str">
        <f t="shared" si="9"/>
        <v>明顯下降</v>
      </c>
      <c r="J211" s="32" t="b">
        <f t="shared" si="11"/>
        <v>1</v>
      </c>
    </row>
    <row r="212" spans="1:10">
      <c r="A212" s="36">
        <v>134321</v>
      </c>
      <c r="B212" s="37" t="s">
        <v>31</v>
      </c>
      <c r="C212" s="37" t="s">
        <v>252</v>
      </c>
      <c r="D212" s="38" t="str">
        <f>VLOOKUP(B212, Mapping!$A:$B, 2, FALSE)</f>
        <v>南部</v>
      </c>
      <c r="E212" s="38" t="str">
        <f>IFERROR(VLOOKUP(A212, '113_Faraway'!$A:$C, 3,FALSE),"非偏遠")</f>
        <v>偏遠</v>
      </c>
      <c r="F212" s="33">
        <f>VLOOKUP(A212, '111_Raw'!$B:$D,3,FALSE)</f>
        <v>260</v>
      </c>
      <c r="G212" s="33">
        <f>VLOOKUP(A212, '113_Raw'!$B:$D,3,FALSE)</f>
        <v>250</v>
      </c>
      <c r="H212" s="35">
        <f t="shared" si="10"/>
        <v>-3.7999999999999999E-2</v>
      </c>
      <c r="I212" s="38" t="str">
        <f t="shared" si="9"/>
        <v>小幅下降</v>
      </c>
      <c r="J212" s="32" t="b">
        <f t="shared" si="11"/>
        <v>1</v>
      </c>
    </row>
    <row r="213" spans="1:10">
      <c r="A213" s="36">
        <v>134324</v>
      </c>
      <c r="B213" s="37" t="s">
        <v>31</v>
      </c>
      <c r="C213" s="37" t="s">
        <v>253</v>
      </c>
      <c r="D213" s="38" t="str">
        <f>VLOOKUP(B213, Mapping!$A:$B, 2, FALSE)</f>
        <v>南部</v>
      </c>
      <c r="E213" s="38" t="str">
        <f>IFERROR(VLOOKUP(A213, '113_Faraway'!$A:$C, 3,FALSE),"非偏遠")</f>
        <v>非偏遠</v>
      </c>
      <c r="F213" s="33">
        <f>VLOOKUP(A213, '111_Raw'!$B:$D,3,FALSE)</f>
        <v>618</v>
      </c>
      <c r="G213" s="33">
        <f>VLOOKUP(A213, '113_Raw'!$B:$D,3,FALSE)</f>
        <v>602</v>
      </c>
      <c r="H213" s="35">
        <f t="shared" si="10"/>
        <v>-2.5999999999999999E-2</v>
      </c>
      <c r="I213" s="38" t="str">
        <f t="shared" si="9"/>
        <v>小幅下降</v>
      </c>
      <c r="J213" s="32" t="b">
        <f t="shared" si="11"/>
        <v>1</v>
      </c>
    </row>
    <row r="214" spans="1:10">
      <c r="A214" s="36">
        <v>134334</v>
      </c>
      <c r="B214" s="37" t="s">
        <v>31</v>
      </c>
      <c r="C214" s="37" t="s">
        <v>254</v>
      </c>
      <c r="D214" s="38" t="str">
        <f>VLOOKUP(B214, Mapping!$A:$B, 2, FALSE)</f>
        <v>南部</v>
      </c>
      <c r="E214" s="38" t="str">
        <f>IFERROR(VLOOKUP(A214, '113_Faraway'!$A:$C, 3,FALSE),"非偏遠")</f>
        <v>偏遠</v>
      </c>
      <c r="F214" s="33">
        <f>VLOOKUP(A214, '111_Raw'!$B:$D,3,FALSE)</f>
        <v>178</v>
      </c>
      <c r="G214" s="33">
        <f>VLOOKUP(A214, '113_Raw'!$B:$D,3,FALSE)</f>
        <v>136</v>
      </c>
      <c r="H214" s="35">
        <f t="shared" si="10"/>
        <v>-0.23599999999999999</v>
      </c>
      <c r="I214" s="38" t="str">
        <f t="shared" si="9"/>
        <v>明顯下降</v>
      </c>
      <c r="J214" s="32" t="b">
        <f t="shared" si="11"/>
        <v>1</v>
      </c>
    </row>
    <row r="215" spans="1:10">
      <c r="A215" s="36">
        <v>140301</v>
      </c>
      <c r="B215" s="37" t="s">
        <v>18</v>
      </c>
      <c r="C215" s="37" t="s">
        <v>255</v>
      </c>
      <c r="D215" s="38" t="str">
        <f>VLOOKUP(B215, Mapping!$A:$B, 2, FALSE)</f>
        <v>東部</v>
      </c>
      <c r="E215" s="38" t="str">
        <f>IFERROR(VLOOKUP(A215, '113_Faraway'!$A:$C, 3,FALSE),"非偏遠")</f>
        <v>非偏遠</v>
      </c>
      <c r="F215" s="33">
        <f>VLOOKUP(A215, '111_Raw'!$B:$D,3,FALSE)</f>
        <v>187</v>
      </c>
      <c r="G215" s="33">
        <f>VLOOKUP(A215, '113_Raw'!$B:$D,3,FALSE)</f>
        <v>212</v>
      </c>
      <c r="H215" s="35">
        <f t="shared" si="10"/>
        <v>0.13400000000000001</v>
      </c>
      <c r="I215" s="38" t="str">
        <f t="shared" si="9"/>
        <v>穩定或成長</v>
      </c>
      <c r="J215" s="32" t="b">
        <f t="shared" si="11"/>
        <v>0</v>
      </c>
    </row>
    <row r="216" spans="1:10">
      <c r="A216" s="36">
        <v>140302</v>
      </c>
      <c r="B216" s="37" t="s">
        <v>18</v>
      </c>
      <c r="C216" s="37" t="s">
        <v>256</v>
      </c>
      <c r="D216" s="38" t="str">
        <f>VLOOKUP(B216, Mapping!$A:$B, 2, FALSE)</f>
        <v>東部</v>
      </c>
      <c r="E216" s="38" t="str">
        <f>IFERROR(VLOOKUP(A216, '113_Faraway'!$A:$C, 3,FALSE),"非偏遠")</f>
        <v>非偏遠</v>
      </c>
      <c r="F216" s="33">
        <f>VLOOKUP(A216, '111_Raw'!$B:$D,3,FALSE)</f>
        <v>846</v>
      </c>
      <c r="G216" s="33">
        <f>VLOOKUP(A216, '113_Raw'!$B:$D,3,FALSE)</f>
        <v>806</v>
      </c>
      <c r="H216" s="35">
        <f t="shared" si="10"/>
        <v>-4.7E-2</v>
      </c>
      <c r="I216" s="38" t="str">
        <f t="shared" si="9"/>
        <v>小幅下降</v>
      </c>
      <c r="J216" s="32" t="b">
        <f t="shared" si="11"/>
        <v>1</v>
      </c>
    </row>
    <row r="217" spans="1:10">
      <c r="A217" s="36">
        <v>140303</v>
      </c>
      <c r="B217" s="37" t="s">
        <v>18</v>
      </c>
      <c r="C217" s="37" t="s">
        <v>257</v>
      </c>
      <c r="D217" s="38" t="str">
        <f>VLOOKUP(B217, Mapping!$A:$B, 2, FALSE)</f>
        <v>東部</v>
      </c>
      <c r="E217" s="38" t="str">
        <f>IFERROR(VLOOKUP(A217, '113_Faraway'!$A:$C, 3,FALSE),"非偏遠")</f>
        <v>非偏遠</v>
      </c>
      <c r="F217" s="33">
        <f>VLOOKUP(A217, '111_Raw'!$B:$D,3,FALSE)</f>
        <v>894</v>
      </c>
      <c r="G217" s="33">
        <f>VLOOKUP(A217, '113_Raw'!$B:$D,3,FALSE)</f>
        <v>834</v>
      </c>
      <c r="H217" s="35">
        <f t="shared" si="10"/>
        <v>-6.7000000000000004E-2</v>
      </c>
      <c r="I217" s="38" t="str">
        <f t="shared" si="9"/>
        <v>明顯下降</v>
      </c>
      <c r="J217" s="32" t="b">
        <f t="shared" si="11"/>
        <v>1</v>
      </c>
    </row>
    <row r="218" spans="1:10">
      <c r="A218" s="36">
        <v>141301</v>
      </c>
      <c r="B218" s="37" t="s">
        <v>18</v>
      </c>
      <c r="C218" s="37" t="s">
        <v>258</v>
      </c>
      <c r="D218" s="38" t="str">
        <f>VLOOKUP(B218, Mapping!$A:$B, 2, FALSE)</f>
        <v>東部</v>
      </c>
      <c r="E218" s="38" t="str">
        <f>IFERROR(VLOOKUP(A218, '113_Faraway'!$A:$C, 3,FALSE),"非偏遠")</f>
        <v>非偏遠</v>
      </c>
      <c r="F218" s="33">
        <f>VLOOKUP(A218, '111_Raw'!$B:$D,3,FALSE)</f>
        <v>131</v>
      </c>
      <c r="G218" s="33">
        <f>VLOOKUP(A218, '113_Raw'!$B:$D,3,FALSE)</f>
        <v>135</v>
      </c>
      <c r="H218" s="35">
        <f t="shared" si="10"/>
        <v>3.1E-2</v>
      </c>
      <c r="I218" s="38" t="str">
        <f t="shared" si="9"/>
        <v>穩定或成長</v>
      </c>
      <c r="J218" s="32" t="b">
        <f t="shared" si="11"/>
        <v>0</v>
      </c>
    </row>
    <row r="219" spans="1:10">
      <c r="A219" s="36">
        <v>141307</v>
      </c>
      <c r="B219" s="37" t="s">
        <v>18</v>
      </c>
      <c r="C219" s="37" t="s">
        <v>259</v>
      </c>
      <c r="D219" s="38" t="str">
        <f>VLOOKUP(B219, Mapping!$A:$B, 2, FALSE)</f>
        <v>東部</v>
      </c>
      <c r="E219" s="38" t="str">
        <f>IFERROR(VLOOKUP(A219, '113_Faraway'!$A:$C, 3,FALSE),"非偏遠")</f>
        <v>非偏遠</v>
      </c>
      <c r="F219" s="33">
        <f>VLOOKUP(A219, '111_Raw'!$B:$D,3,FALSE)</f>
        <v>79</v>
      </c>
      <c r="G219" s="33">
        <f>VLOOKUP(A219, '113_Raw'!$B:$D,3,FALSE)</f>
        <v>24</v>
      </c>
      <c r="H219" s="35">
        <f t="shared" si="10"/>
        <v>-0.69599999999999995</v>
      </c>
      <c r="I219" s="38" t="str">
        <f t="shared" si="9"/>
        <v>明顯下降</v>
      </c>
      <c r="J219" s="32" t="b">
        <f t="shared" si="11"/>
        <v>1</v>
      </c>
    </row>
    <row r="220" spans="1:10">
      <c r="A220" s="36">
        <v>144322</v>
      </c>
      <c r="B220" s="37" t="s">
        <v>18</v>
      </c>
      <c r="C220" s="37" t="s">
        <v>260</v>
      </c>
      <c r="D220" s="38" t="str">
        <f>VLOOKUP(B220, Mapping!$A:$B, 2, FALSE)</f>
        <v>東部</v>
      </c>
      <c r="E220" s="38" t="str">
        <f>IFERROR(VLOOKUP(A220, '113_Faraway'!$A:$C, 3,FALSE),"非偏遠")</f>
        <v>特偏</v>
      </c>
      <c r="F220" s="33">
        <f>VLOOKUP(A220, '111_Raw'!$B:$D,3,FALSE)</f>
        <v>35</v>
      </c>
      <c r="G220" s="33">
        <f>VLOOKUP(A220, '113_Raw'!$B:$D,3,FALSE)</f>
        <v>38</v>
      </c>
      <c r="H220" s="35">
        <f t="shared" si="10"/>
        <v>8.5999999999999993E-2</v>
      </c>
      <c r="I220" s="38" t="str">
        <f t="shared" si="9"/>
        <v>穩定或成長</v>
      </c>
      <c r="J220" s="32" t="b">
        <f t="shared" si="11"/>
        <v>0</v>
      </c>
    </row>
    <row r="221" spans="1:10">
      <c r="A221" s="36">
        <v>150302</v>
      </c>
      <c r="B221" s="37" t="s">
        <v>32</v>
      </c>
      <c r="C221" s="37" t="s">
        <v>261</v>
      </c>
      <c r="D221" s="38" t="str">
        <f>VLOOKUP(B221, Mapping!$A:$B, 2, FALSE)</f>
        <v>東部</v>
      </c>
      <c r="E221" s="38" t="str">
        <f>IFERROR(VLOOKUP(A221, '113_Faraway'!$A:$C, 3,FALSE),"非偏遠")</f>
        <v>非偏遠</v>
      </c>
      <c r="F221" s="33">
        <f>VLOOKUP(A221, '111_Raw'!$B:$D,3,FALSE)</f>
        <v>1035</v>
      </c>
      <c r="G221" s="33">
        <f>VLOOKUP(A221, '113_Raw'!$B:$D,3,FALSE)</f>
        <v>1010</v>
      </c>
      <c r="H221" s="35">
        <f t="shared" si="10"/>
        <v>-2.4E-2</v>
      </c>
      <c r="I221" s="38" t="str">
        <f t="shared" si="9"/>
        <v>小幅下降</v>
      </c>
      <c r="J221" s="32" t="b">
        <f t="shared" si="11"/>
        <v>1</v>
      </c>
    </row>
    <row r="222" spans="1:10">
      <c r="A222" s="36">
        <v>150303</v>
      </c>
      <c r="B222" s="37" t="s">
        <v>32</v>
      </c>
      <c r="C222" s="37" t="s">
        <v>262</v>
      </c>
      <c r="D222" s="38" t="str">
        <f>VLOOKUP(B222, Mapping!$A:$B, 2, FALSE)</f>
        <v>東部</v>
      </c>
      <c r="E222" s="38" t="str">
        <f>IFERROR(VLOOKUP(A222, '113_Faraway'!$A:$C, 3,FALSE),"非偏遠")</f>
        <v>非偏遠</v>
      </c>
      <c r="F222" s="33">
        <f>VLOOKUP(A222, '111_Raw'!$B:$D,3,FALSE)</f>
        <v>1071</v>
      </c>
      <c r="G222" s="33">
        <f>VLOOKUP(A222, '113_Raw'!$B:$D,3,FALSE)</f>
        <v>1049</v>
      </c>
      <c r="H222" s="35">
        <f t="shared" si="10"/>
        <v>-2.1000000000000001E-2</v>
      </c>
      <c r="I222" s="38" t="str">
        <f t="shared" si="9"/>
        <v>小幅下降</v>
      </c>
      <c r="J222" s="32" t="b">
        <f t="shared" si="11"/>
        <v>1</v>
      </c>
    </row>
    <row r="223" spans="1:10">
      <c r="A223" s="36">
        <v>150309</v>
      </c>
      <c r="B223" s="37" t="s">
        <v>32</v>
      </c>
      <c r="C223" s="37" t="s">
        <v>263</v>
      </c>
      <c r="D223" s="38" t="str">
        <f>VLOOKUP(B223, Mapping!$A:$B, 2, FALSE)</f>
        <v>東部</v>
      </c>
      <c r="E223" s="38" t="str">
        <f>IFERROR(VLOOKUP(A223, '113_Faraway'!$A:$C, 3,FALSE),"非偏遠")</f>
        <v>偏遠</v>
      </c>
      <c r="F223" s="33">
        <f>VLOOKUP(A223, '111_Raw'!$B:$D,3,FALSE)</f>
        <v>448</v>
      </c>
      <c r="G223" s="33">
        <f>VLOOKUP(A223, '113_Raw'!$B:$D,3,FALSE)</f>
        <v>379</v>
      </c>
      <c r="H223" s="35">
        <f t="shared" si="10"/>
        <v>-0.154</v>
      </c>
      <c r="I223" s="38" t="str">
        <f t="shared" si="9"/>
        <v>明顯下降</v>
      </c>
      <c r="J223" s="32" t="b">
        <f t="shared" si="11"/>
        <v>1</v>
      </c>
    </row>
    <row r="224" spans="1:10">
      <c r="A224" s="36">
        <v>151306</v>
      </c>
      <c r="B224" s="37" t="s">
        <v>32</v>
      </c>
      <c r="C224" s="37" t="s">
        <v>264</v>
      </c>
      <c r="D224" s="38" t="str">
        <f>VLOOKUP(B224, Mapping!$A:$B, 2, FALSE)</f>
        <v>東部</v>
      </c>
      <c r="E224" s="38" t="str">
        <f>IFERROR(VLOOKUP(A224, '113_Faraway'!$A:$C, 3,FALSE),"非偏遠")</f>
        <v>非偏遠</v>
      </c>
      <c r="F224" s="33">
        <f>VLOOKUP(A224, '111_Raw'!$B:$D,3,FALSE)</f>
        <v>576</v>
      </c>
      <c r="G224" s="33">
        <f>VLOOKUP(A224, '113_Raw'!$B:$D,3,FALSE)</f>
        <v>729</v>
      </c>
      <c r="H224" s="35">
        <f t="shared" si="10"/>
        <v>0.26600000000000001</v>
      </c>
      <c r="I224" s="38" t="str">
        <f t="shared" si="9"/>
        <v>穩定或成長</v>
      </c>
      <c r="J224" s="32" t="b">
        <f t="shared" si="11"/>
        <v>0</v>
      </c>
    </row>
    <row r="225" spans="1:10">
      <c r="A225" s="36">
        <v>151307</v>
      </c>
      <c r="B225" s="37" t="s">
        <v>32</v>
      </c>
      <c r="C225" s="37" t="s">
        <v>265</v>
      </c>
      <c r="D225" s="38" t="str">
        <f>VLOOKUP(B225, Mapping!$A:$B, 2, FALSE)</f>
        <v>東部</v>
      </c>
      <c r="E225" s="38" t="str">
        <f>IFERROR(VLOOKUP(A225, '113_Faraway'!$A:$C, 3,FALSE),"非偏遠")</f>
        <v>非偏遠</v>
      </c>
      <c r="F225" s="33">
        <f>VLOOKUP(A225, '111_Raw'!$B:$D,3,FALSE)</f>
        <v>886</v>
      </c>
      <c r="G225" s="33">
        <f>VLOOKUP(A225, '113_Raw'!$B:$D,3,FALSE)</f>
        <v>897</v>
      </c>
      <c r="H225" s="35">
        <f t="shared" si="10"/>
        <v>1.2E-2</v>
      </c>
      <c r="I225" s="38" t="str">
        <f t="shared" si="9"/>
        <v>穩定或成長</v>
      </c>
      <c r="J225" s="32" t="b">
        <f t="shared" si="11"/>
        <v>0</v>
      </c>
    </row>
    <row r="226" spans="1:10">
      <c r="A226" s="36">
        <v>151312</v>
      </c>
      <c r="B226" s="37" t="s">
        <v>32</v>
      </c>
      <c r="C226" s="37" t="s">
        <v>266</v>
      </c>
      <c r="D226" s="38" t="str">
        <f>VLOOKUP(B226, Mapping!$A:$B, 2, FALSE)</f>
        <v>東部</v>
      </c>
      <c r="E226" s="38" t="str">
        <f>IFERROR(VLOOKUP(A226, '113_Faraway'!$A:$C, 3,FALSE),"非偏遠")</f>
        <v>非偏遠</v>
      </c>
      <c r="F226" s="33">
        <f>VLOOKUP(A226, '111_Raw'!$B:$D,3,FALSE)</f>
        <v>572</v>
      </c>
      <c r="G226" s="33">
        <f>VLOOKUP(A226, '113_Raw'!$B:$D,3,FALSE)</f>
        <v>601</v>
      </c>
      <c r="H226" s="35">
        <f t="shared" si="10"/>
        <v>5.0999999999999997E-2</v>
      </c>
      <c r="I226" s="38" t="str">
        <f t="shared" si="9"/>
        <v>穩定或成長</v>
      </c>
      <c r="J226" s="32" t="b">
        <f t="shared" si="11"/>
        <v>0</v>
      </c>
    </row>
    <row r="227" spans="1:10">
      <c r="A227" s="36">
        <v>154301</v>
      </c>
      <c r="B227" s="37" t="s">
        <v>32</v>
      </c>
      <c r="C227" s="37" t="s">
        <v>267</v>
      </c>
      <c r="D227" s="38" t="str">
        <f>VLOOKUP(B227, Mapping!$A:$B, 2, FALSE)</f>
        <v>東部</v>
      </c>
      <c r="E227" s="38" t="str">
        <f>IFERROR(VLOOKUP(A227, '113_Faraway'!$A:$C, 3,FALSE),"非偏遠")</f>
        <v>非偏遠</v>
      </c>
      <c r="F227" s="33">
        <f>VLOOKUP(A227, '111_Raw'!$B:$D,3,FALSE)</f>
        <v>147</v>
      </c>
      <c r="G227" s="33">
        <f>VLOOKUP(A227, '113_Raw'!$B:$D,3,FALSE)</f>
        <v>116</v>
      </c>
      <c r="H227" s="35">
        <f t="shared" si="10"/>
        <v>-0.21099999999999999</v>
      </c>
      <c r="I227" s="38" t="str">
        <f t="shared" si="9"/>
        <v>明顯下降</v>
      </c>
      <c r="J227" s="32" t="b">
        <f t="shared" si="11"/>
        <v>1</v>
      </c>
    </row>
    <row r="228" spans="1:10">
      <c r="A228" s="36">
        <v>154399</v>
      </c>
      <c r="B228" s="37" t="s">
        <v>32</v>
      </c>
      <c r="C228" s="37" t="s">
        <v>268</v>
      </c>
      <c r="D228" s="38" t="str">
        <f>VLOOKUP(B228, Mapping!$A:$B, 2, FALSE)</f>
        <v>東部</v>
      </c>
      <c r="E228" s="38" t="str">
        <f>IFERROR(VLOOKUP(A228, '113_Faraway'!$A:$C, 3,FALSE),"非偏遠")</f>
        <v>偏遠</v>
      </c>
      <c r="F228" s="33">
        <f>VLOOKUP(A228, '111_Raw'!$B:$D,3,FALSE)</f>
        <v>9</v>
      </c>
      <c r="G228" s="33">
        <f>VLOOKUP(A228, '113_Raw'!$B:$D,3,FALSE)</f>
        <v>16</v>
      </c>
      <c r="H228" s="35">
        <f t="shared" si="10"/>
        <v>0.77800000000000002</v>
      </c>
      <c r="I228" s="38" t="str">
        <f t="shared" si="9"/>
        <v>穩定或成長</v>
      </c>
      <c r="J228" s="32" t="b">
        <f t="shared" si="11"/>
        <v>0</v>
      </c>
    </row>
    <row r="229" spans="1:10">
      <c r="A229" s="36">
        <v>160302</v>
      </c>
      <c r="B229" s="37" t="s">
        <v>33</v>
      </c>
      <c r="C229" s="37" t="s">
        <v>269</v>
      </c>
      <c r="D229" s="38" t="str">
        <f>VLOOKUP(B229, Mapping!$A:$B, 2, FALSE)</f>
        <v>離島</v>
      </c>
      <c r="E229" s="38" t="str">
        <f>IFERROR(VLOOKUP(A229, '113_Faraway'!$A:$C, 3,FALSE),"非偏遠")</f>
        <v>偏遠</v>
      </c>
      <c r="F229" s="33">
        <f>VLOOKUP(A229, '111_Raw'!$B:$D,3,FALSE)</f>
        <v>1119</v>
      </c>
      <c r="G229" s="33">
        <f>VLOOKUP(A229, '113_Raw'!$B:$D,3,FALSE)</f>
        <v>1002</v>
      </c>
      <c r="H229" s="35">
        <f t="shared" si="10"/>
        <v>-0.105</v>
      </c>
      <c r="I229" s="38" t="str">
        <f t="shared" si="9"/>
        <v>明顯下降</v>
      </c>
      <c r="J229" s="32" t="b">
        <f t="shared" si="11"/>
        <v>1</v>
      </c>
    </row>
    <row r="230" spans="1:10">
      <c r="A230" s="36">
        <v>170301</v>
      </c>
      <c r="B230" s="37" t="s">
        <v>34</v>
      </c>
      <c r="C230" s="37" t="s">
        <v>270</v>
      </c>
      <c r="D230" s="38" t="str">
        <f>VLOOKUP(B230, Mapping!$A:$B, 2, FALSE)</f>
        <v>北部</v>
      </c>
      <c r="E230" s="38" t="str">
        <f>IFERROR(VLOOKUP(A230, '113_Faraway'!$A:$C, 3,FALSE),"非偏遠")</f>
        <v>非偏遠</v>
      </c>
      <c r="F230" s="33">
        <f>VLOOKUP(A230, '111_Raw'!$B:$D,3,FALSE)</f>
        <v>807</v>
      </c>
      <c r="G230" s="33">
        <f>VLOOKUP(A230, '113_Raw'!$B:$D,3,FALSE)</f>
        <v>738</v>
      </c>
      <c r="H230" s="35">
        <f t="shared" si="10"/>
        <v>-8.5999999999999993E-2</v>
      </c>
      <c r="I230" s="38" t="str">
        <f t="shared" si="9"/>
        <v>明顯下降</v>
      </c>
      <c r="J230" s="32" t="b">
        <f t="shared" si="11"/>
        <v>1</v>
      </c>
    </row>
    <row r="231" spans="1:10">
      <c r="A231" s="36">
        <v>170302</v>
      </c>
      <c r="B231" s="37" t="s">
        <v>34</v>
      </c>
      <c r="C231" s="37" t="s">
        <v>271</v>
      </c>
      <c r="D231" s="38" t="str">
        <f>VLOOKUP(B231, Mapping!$A:$B, 2, FALSE)</f>
        <v>北部</v>
      </c>
      <c r="E231" s="38" t="str">
        <f>IFERROR(VLOOKUP(A231, '113_Faraway'!$A:$C, 3,FALSE),"非偏遠")</f>
        <v>非偏遠</v>
      </c>
      <c r="F231" s="33">
        <f>VLOOKUP(A231, '111_Raw'!$B:$D,3,FALSE)</f>
        <v>615</v>
      </c>
      <c r="G231" s="33">
        <f>VLOOKUP(A231, '113_Raw'!$B:$D,3,FALSE)</f>
        <v>681</v>
      </c>
      <c r="H231" s="35">
        <f t="shared" si="10"/>
        <v>0.107</v>
      </c>
      <c r="I231" s="38" t="str">
        <f t="shared" si="9"/>
        <v>穩定或成長</v>
      </c>
      <c r="J231" s="32" t="b">
        <f t="shared" si="11"/>
        <v>0</v>
      </c>
    </row>
    <row r="232" spans="1:10">
      <c r="A232" s="36">
        <v>171306</v>
      </c>
      <c r="B232" s="37" t="s">
        <v>34</v>
      </c>
      <c r="C232" s="37" t="s">
        <v>272</v>
      </c>
      <c r="D232" s="38" t="str">
        <f>VLOOKUP(B232, Mapping!$A:$B, 2, FALSE)</f>
        <v>北部</v>
      </c>
      <c r="E232" s="38" t="str">
        <f>IFERROR(VLOOKUP(A232, '113_Faraway'!$A:$C, 3,FALSE),"非偏遠")</f>
        <v>非偏遠</v>
      </c>
      <c r="F232" s="33">
        <f>VLOOKUP(A232, '111_Raw'!$B:$D,3,FALSE)</f>
        <v>1737</v>
      </c>
      <c r="G232" s="33">
        <f>VLOOKUP(A232, '113_Raw'!$B:$D,3,FALSE)</f>
        <v>1569</v>
      </c>
      <c r="H232" s="35">
        <f t="shared" si="10"/>
        <v>-9.7000000000000003E-2</v>
      </c>
      <c r="I232" s="38" t="str">
        <f t="shared" si="9"/>
        <v>明顯下降</v>
      </c>
      <c r="J232" s="32" t="b">
        <f t="shared" si="11"/>
        <v>1</v>
      </c>
    </row>
    <row r="233" spans="1:10">
      <c r="A233" s="36">
        <v>171308</v>
      </c>
      <c r="B233" s="37" t="s">
        <v>34</v>
      </c>
      <c r="C233" s="37" t="s">
        <v>273</v>
      </c>
      <c r="D233" s="38" t="str">
        <f>VLOOKUP(B233, Mapping!$A:$B, 2, FALSE)</f>
        <v>北部</v>
      </c>
      <c r="E233" s="38" t="str">
        <f>IFERROR(VLOOKUP(A233, '113_Faraway'!$A:$C, 3,FALSE),"非偏遠")</f>
        <v>非偏遠</v>
      </c>
      <c r="F233" s="33">
        <f>VLOOKUP(A233, '111_Raw'!$B:$D,3,FALSE)</f>
        <v>151</v>
      </c>
      <c r="G233" s="33">
        <f>VLOOKUP(A233, '113_Raw'!$B:$D,3,FALSE)</f>
        <v>51</v>
      </c>
      <c r="H233" s="35">
        <f t="shared" si="10"/>
        <v>-0.66200000000000003</v>
      </c>
      <c r="I233" s="38" t="str">
        <f t="shared" si="9"/>
        <v>明顯下降</v>
      </c>
      <c r="J233" s="32" t="b">
        <f t="shared" si="11"/>
        <v>1</v>
      </c>
    </row>
    <row r="234" spans="1:10">
      <c r="A234" s="36">
        <v>173304</v>
      </c>
      <c r="B234" s="37" t="s">
        <v>34</v>
      </c>
      <c r="C234" s="37" t="s">
        <v>274</v>
      </c>
      <c r="D234" s="38" t="str">
        <f>VLOOKUP(B234, Mapping!$A:$B, 2, FALSE)</f>
        <v>北部</v>
      </c>
      <c r="E234" s="38" t="str">
        <f>IFERROR(VLOOKUP(A234, '113_Faraway'!$A:$C, 3,FALSE),"非偏遠")</f>
        <v>非偏遠</v>
      </c>
      <c r="F234" s="33">
        <f>VLOOKUP(A234, '111_Raw'!$B:$D,3,FALSE)</f>
        <v>267</v>
      </c>
      <c r="G234" s="33">
        <f>VLOOKUP(A234, '113_Raw'!$B:$D,3,FALSE)</f>
        <v>222</v>
      </c>
      <c r="H234" s="35">
        <f t="shared" si="10"/>
        <v>-0.16900000000000001</v>
      </c>
      <c r="I234" s="38" t="str">
        <f t="shared" si="9"/>
        <v>明顯下降</v>
      </c>
      <c r="J234" s="32" t="b">
        <f t="shared" si="11"/>
        <v>1</v>
      </c>
    </row>
    <row r="235" spans="1:10">
      <c r="A235" s="36">
        <v>173306</v>
      </c>
      <c r="B235" s="37" t="s">
        <v>34</v>
      </c>
      <c r="C235" s="37" t="s">
        <v>275</v>
      </c>
      <c r="D235" s="38" t="str">
        <f>VLOOKUP(B235, Mapping!$A:$B, 2, FALSE)</f>
        <v>北部</v>
      </c>
      <c r="E235" s="38" t="str">
        <f>IFERROR(VLOOKUP(A235, '113_Faraway'!$A:$C, 3,FALSE),"非偏遠")</f>
        <v>非偏遠</v>
      </c>
      <c r="F235" s="33">
        <f>VLOOKUP(A235, '111_Raw'!$B:$D,3,FALSE)</f>
        <v>395</v>
      </c>
      <c r="G235" s="33">
        <f>VLOOKUP(A235, '113_Raw'!$B:$D,3,FALSE)</f>
        <v>412</v>
      </c>
      <c r="H235" s="35">
        <f t="shared" si="10"/>
        <v>4.2999999999999997E-2</v>
      </c>
      <c r="I235" s="38" t="str">
        <f t="shared" si="9"/>
        <v>穩定或成長</v>
      </c>
      <c r="J235" s="32" t="b">
        <f t="shared" si="11"/>
        <v>0</v>
      </c>
    </row>
    <row r="236" spans="1:10">
      <c r="A236" s="36">
        <v>173307</v>
      </c>
      <c r="B236" s="37" t="s">
        <v>34</v>
      </c>
      <c r="C236" s="37" t="s">
        <v>276</v>
      </c>
      <c r="D236" s="38" t="str">
        <f>VLOOKUP(B236, Mapping!$A:$B, 2, FALSE)</f>
        <v>北部</v>
      </c>
      <c r="E236" s="38" t="str">
        <f>IFERROR(VLOOKUP(A236, '113_Faraway'!$A:$C, 3,FALSE),"非偏遠")</f>
        <v>非偏遠</v>
      </c>
      <c r="F236" s="33">
        <f>VLOOKUP(A236, '111_Raw'!$B:$D,3,FALSE)</f>
        <v>284</v>
      </c>
      <c r="G236" s="33">
        <f>VLOOKUP(A236, '113_Raw'!$B:$D,3,FALSE)</f>
        <v>293</v>
      </c>
      <c r="H236" s="35">
        <f t="shared" si="10"/>
        <v>3.2000000000000001E-2</v>
      </c>
      <c r="I236" s="38" t="str">
        <f t="shared" si="9"/>
        <v>穩定或成長</v>
      </c>
      <c r="J236" s="32" t="b">
        <f t="shared" si="11"/>
        <v>0</v>
      </c>
    </row>
    <row r="237" spans="1:10">
      <c r="A237" s="36">
        <v>173314</v>
      </c>
      <c r="B237" s="37" t="s">
        <v>34</v>
      </c>
      <c r="C237" s="37" t="s">
        <v>277</v>
      </c>
      <c r="D237" s="38" t="str">
        <f>VLOOKUP(B237, Mapping!$A:$B, 2, FALSE)</f>
        <v>北部</v>
      </c>
      <c r="E237" s="38" t="str">
        <f>IFERROR(VLOOKUP(A237, '113_Faraway'!$A:$C, 3,FALSE),"非偏遠")</f>
        <v>非偏遠</v>
      </c>
      <c r="F237" s="33">
        <f>VLOOKUP(A237, '111_Raw'!$B:$D,3,FALSE)</f>
        <v>176</v>
      </c>
      <c r="G237" s="33">
        <f>VLOOKUP(A237, '113_Raw'!$B:$D,3,FALSE)</f>
        <v>171</v>
      </c>
      <c r="H237" s="35">
        <f t="shared" si="10"/>
        <v>-2.8000000000000001E-2</v>
      </c>
      <c r="I237" s="38" t="str">
        <f t="shared" si="9"/>
        <v>小幅下降</v>
      </c>
      <c r="J237" s="32" t="b">
        <f t="shared" si="11"/>
        <v>1</v>
      </c>
    </row>
    <row r="238" spans="1:10">
      <c r="A238" s="36">
        <v>180301</v>
      </c>
      <c r="B238" s="37" t="s">
        <v>35</v>
      </c>
      <c r="C238" s="37" t="s">
        <v>278</v>
      </c>
      <c r="D238" s="38" t="str">
        <f>VLOOKUP(B238, Mapping!$A:$B, 2, FALSE)</f>
        <v>北部</v>
      </c>
      <c r="E238" s="38" t="str">
        <f>IFERROR(VLOOKUP(A238, '113_Faraway'!$A:$C, 3,FALSE),"非偏遠")</f>
        <v>非偏遠</v>
      </c>
      <c r="F238" s="33">
        <f>VLOOKUP(A238, '111_Raw'!$B:$D,3,FALSE)</f>
        <v>678</v>
      </c>
      <c r="G238" s="33">
        <f>VLOOKUP(A238, '113_Raw'!$B:$D,3,FALSE)</f>
        <v>731</v>
      </c>
      <c r="H238" s="35">
        <f t="shared" si="10"/>
        <v>7.8E-2</v>
      </c>
      <c r="I238" s="38" t="str">
        <f t="shared" si="9"/>
        <v>穩定或成長</v>
      </c>
      <c r="J238" s="32" t="b">
        <f t="shared" si="11"/>
        <v>0</v>
      </c>
    </row>
    <row r="239" spans="1:10">
      <c r="A239" s="36">
        <v>180302</v>
      </c>
      <c r="B239" s="37" t="s">
        <v>35</v>
      </c>
      <c r="C239" s="37" t="s">
        <v>279</v>
      </c>
      <c r="D239" s="38" t="str">
        <f>VLOOKUP(B239, Mapping!$A:$B, 2, FALSE)</f>
        <v>北部</v>
      </c>
      <c r="E239" s="38" t="str">
        <f>IFERROR(VLOOKUP(A239, '113_Faraway'!$A:$C, 3,FALSE),"非偏遠")</f>
        <v>非偏遠</v>
      </c>
      <c r="F239" s="33">
        <f>VLOOKUP(A239, '111_Raw'!$B:$D,3,FALSE)</f>
        <v>1880</v>
      </c>
      <c r="G239" s="33">
        <f>VLOOKUP(A239, '113_Raw'!$B:$D,3,FALSE)</f>
        <v>1866</v>
      </c>
      <c r="H239" s="35">
        <f t="shared" si="10"/>
        <v>-7.0000000000000001E-3</v>
      </c>
      <c r="I239" s="38" t="str">
        <f t="shared" si="9"/>
        <v>小幅下降</v>
      </c>
      <c r="J239" s="32" t="b">
        <f t="shared" si="11"/>
        <v>0</v>
      </c>
    </row>
    <row r="240" spans="1:10">
      <c r="A240" s="36">
        <v>180309</v>
      </c>
      <c r="B240" s="37" t="s">
        <v>35</v>
      </c>
      <c r="C240" s="37" t="s">
        <v>280</v>
      </c>
      <c r="D240" s="38" t="str">
        <f>VLOOKUP(B240, Mapping!$A:$B, 2, FALSE)</f>
        <v>北部</v>
      </c>
      <c r="E240" s="38" t="str">
        <f>IFERROR(VLOOKUP(A240, '113_Faraway'!$A:$C, 3,FALSE),"非偏遠")</f>
        <v>非偏遠</v>
      </c>
      <c r="F240" s="33">
        <f>VLOOKUP(A240, '111_Raw'!$B:$D,3,FALSE)</f>
        <v>1898</v>
      </c>
      <c r="G240" s="33">
        <f>VLOOKUP(A240, '113_Raw'!$B:$D,3,FALSE)</f>
        <v>1889</v>
      </c>
      <c r="H240" s="35">
        <f t="shared" si="10"/>
        <v>-5.0000000000000001E-3</v>
      </c>
      <c r="I240" s="38" t="str">
        <f t="shared" si="9"/>
        <v>小幅下降</v>
      </c>
      <c r="J240" s="32" t="b">
        <f t="shared" si="11"/>
        <v>0</v>
      </c>
    </row>
    <row r="241" spans="1:10">
      <c r="A241" s="36">
        <v>181305</v>
      </c>
      <c r="B241" s="37" t="s">
        <v>35</v>
      </c>
      <c r="C241" s="37" t="s">
        <v>281</v>
      </c>
      <c r="D241" s="38" t="str">
        <f>VLOOKUP(B241, Mapping!$A:$B, 2, FALSE)</f>
        <v>北部</v>
      </c>
      <c r="E241" s="38" t="str">
        <f>IFERROR(VLOOKUP(A241, '113_Faraway'!$A:$C, 3,FALSE),"非偏遠")</f>
        <v>非偏遠</v>
      </c>
      <c r="F241" s="33">
        <f>VLOOKUP(A241, '111_Raw'!$B:$D,3,FALSE)</f>
        <v>4481</v>
      </c>
      <c r="G241" s="33">
        <f>VLOOKUP(A241, '113_Raw'!$B:$D,3,FALSE)</f>
        <v>4373</v>
      </c>
      <c r="H241" s="35">
        <f t="shared" si="10"/>
        <v>-2.4E-2</v>
      </c>
      <c r="I241" s="38" t="str">
        <f t="shared" si="9"/>
        <v>小幅下降</v>
      </c>
      <c r="J241" s="32" t="b">
        <f t="shared" si="11"/>
        <v>1</v>
      </c>
    </row>
    <row r="242" spans="1:10">
      <c r="A242" s="36">
        <v>181306</v>
      </c>
      <c r="B242" s="37" t="s">
        <v>35</v>
      </c>
      <c r="C242" s="37" t="s">
        <v>282</v>
      </c>
      <c r="D242" s="38" t="str">
        <f>VLOOKUP(B242, Mapping!$A:$B, 2, FALSE)</f>
        <v>北部</v>
      </c>
      <c r="E242" s="38" t="str">
        <f>IFERROR(VLOOKUP(A242, '113_Faraway'!$A:$C, 3,FALSE),"非偏遠")</f>
        <v>非偏遠</v>
      </c>
      <c r="F242" s="33">
        <f>VLOOKUP(A242, '111_Raw'!$B:$D,3,FALSE)</f>
        <v>1060</v>
      </c>
      <c r="G242" s="33">
        <f>VLOOKUP(A242, '113_Raw'!$B:$D,3,FALSE)</f>
        <v>1074</v>
      </c>
      <c r="H242" s="35">
        <f t="shared" si="10"/>
        <v>1.2999999999999999E-2</v>
      </c>
      <c r="I242" s="38" t="str">
        <f t="shared" si="9"/>
        <v>穩定或成長</v>
      </c>
      <c r="J242" s="32" t="b">
        <f t="shared" si="11"/>
        <v>0</v>
      </c>
    </row>
    <row r="243" spans="1:10">
      <c r="A243" s="36">
        <v>181307</v>
      </c>
      <c r="B243" s="37" t="s">
        <v>35</v>
      </c>
      <c r="C243" s="37" t="s">
        <v>283</v>
      </c>
      <c r="D243" s="38" t="str">
        <f>VLOOKUP(B243, Mapping!$A:$B, 2, FALSE)</f>
        <v>北部</v>
      </c>
      <c r="E243" s="38" t="str">
        <f>IFERROR(VLOOKUP(A243, '113_Faraway'!$A:$C, 3,FALSE),"非偏遠")</f>
        <v>非偏遠</v>
      </c>
      <c r="F243" s="33">
        <f>VLOOKUP(A243, '111_Raw'!$B:$D,3,FALSE)</f>
        <v>1850</v>
      </c>
      <c r="G243" s="33">
        <f>VLOOKUP(A243, '113_Raw'!$B:$D,3,FALSE)</f>
        <v>1870</v>
      </c>
      <c r="H243" s="35">
        <f t="shared" si="10"/>
        <v>1.0999999999999999E-2</v>
      </c>
      <c r="I243" s="38" t="str">
        <f t="shared" si="9"/>
        <v>穩定或成長</v>
      </c>
      <c r="J243" s="32" t="b">
        <f t="shared" si="11"/>
        <v>0</v>
      </c>
    </row>
    <row r="244" spans="1:10">
      <c r="A244" s="36">
        <v>181308</v>
      </c>
      <c r="B244" s="37" t="s">
        <v>35</v>
      </c>
      <c r="C244" s="37" t="s">
        <v>284</v>
      </c>
      <c r="D244" s="38" t="str">
        <f>VLOOKUP(B244, Mapping!$A:$B, 2, FALSE)</f>
        <v>北部</v>
      </c>
      <c r="E244" s="38" t="str">
        <f>IFERROR(VLOOKUP(A244, '113_Faraway'!$A:$C, 3,FALSE),"非偏遠")</f>
        <v>非偏遠</v>
      </c>
      <c r="F244" s="33">
        <f>VLOOKUP(A244, '111_Raw'!$B:$D,3,FALSE)</f>
        <v>283</v>
      </c>
      <c r="G244" s="33">
        <f>VLOOKUP(A244, '113_Raw'!$B:$D,3,FALSE)</f>
        <v>225</v>
      </c>
      <c r="H244" s="35">
        <f t="shared" si="10"/>
        <v>-0.20499999999999999</v>
      </c>
      <c r="I244" s="38" t="str">
        <f t="shared" si="9"/>
        <v>明顯下降</v>
      </c>
      <c r="J244" s="32" t="b">
        <f t="shared" si="11"/>
        <v>1</v>
      </c>
    </row>
    <row r="245" spans="1:10">
      <c r="A245" s="36">
        <v>183306</v>
      </c>
      <c r="B245" s="37" t="s">
        <v>35</v>
      </c>
      <c r="C245" s="37" t="s">
        <v>285</v>
      </c>
      <c r="D245" s="38" t="str">
        <f>VLOOKUP(B245, Mapping!$A:$B, 2, FALSE)</f>
        <v>北部</v>
      </c>
      <c r="E245" s="38" t="str">
        <f>IFERROR(VLOOKUP(A245, '113_Faraway'!$A:$C, 3,FALSE),"非偏遠")</f>
        <v>非偏遠</v>
      </c>
      <c r="F245" s="33">
        <f>VLOOKUP(A245, '111_Raw'!$B:$D,3,FALSE)</f>
        <v>919</v>
      </c>
      <c r="G245" s="33">
        <f>VLOOKUP(A245, '113_Raw'!$B:$D,3,FALSE)</f>
        <v>979</v>
      </c>
      <c r="H245" s="35">
        <f t="shared" si="10"/>
        <v>6.5000000000000002E-2</v>
      </c>
      <c r="I245" s="38" t="str">
        <f t="shared" si="9"/>
        <v>穩定或成長</v>
      </c>
      <c r="J245" s="32" t="b">
        <f t="shared" si="11"/>
        <v>0</v>
      </c>
    </row>
    <row r="246" spans="1:10">
      <c r="A246" s="36">
        <v>183307</v>
      </c>
      <c r="B246" s="37" t="s">
        <v>35</v>
      </c>
      <c r="C246" s="37" t="s">
        <v>286</v>
      </c>
      <c r="D246" s="38" t="str">
        <f>VLOOKUP(B246, Mapping!$A:$B, 2, FALSE)</f>
        <v>北部</v>
      </c>
      <c r="E246" s="38" t="str">
        <f>IFERROR(VLOOKUP(A246, '113_Faraway'!$A:$C, 3,FALSE),"非偏遠")</f>
        <v>非偏遠</v>
      </c>
      <c r="F246" s="33">
        <f>VLOOKUP(A246, '111_Raw'!$B:$D,3,FALSE)</f>
        <v>909</v>
      </c>
      <c r="G246" s="33">
        <f>VLOOKUP(A246, '113_Raw'!$B:$D,3,FALSE)</f>
        <v>1040</v>
      </c>
      <c r="H246" s="35">
        <f t="shared" si="10"/>
        <v>0.14399999999999999</v>
      </c>
      <c r="I246" s="38" t="str">
        <f t="shared" si="9"/>
        <v>穩定或成長</v>
      </c>
      <c r="J246" s="32" t="b">
        <f t="shared" si="11"/>
        <v>0</v>
      </c>
    </row>
    <row r="247" spans="1:10">
      <c r="A247" s="36">
        <v>183313</v>
      </c>
      <c r="B247" s="37" t="s">
        <v>35</v>
      </c>
      <c r="C247" s="37" t="s">
        <v>287</v>
      </c>
      <c r="D247" s="38" t="str">
        <f>VLOOKUP(B247, Mapping!$A:$B, 2, FALSE)</f>
        <v>北部</v>
      </c>
      <c r="E247" s="38" t="str">
        <f>IFERROR(VLOOKUP(A247, '113_Faraway'!$A:$C, 3,FALSE),"非偏遠")</f>
        <v>非偏遠</v>
      </c>
      <c r="F247" s="33">
        <f>VLOOKUP(A247, '111_Raw'!$B:$D,3,FALSE)</f>
        <v>936</v>
      </c>
      <c r="G247" s="33">
        <f>VLOOKUP(A247, '113_Raw'!$B:$D,3,FALSE)</f>
        <v>962</v>
      </c>
      <c r="H247" s="35">
        <f t="shared" si="10"/>
        <v>2.8000000000000001E-2</v>
      </c>
      <c r="I247" s="38" t="str">
        <f t="shared" si="9"/>
        <v>穩定或成長</v>
      </c>
      <c r="J247" s="32" t="b">
        <f t="shared" si="11"/>
        <v>0</v>
      </c>
    </row>
    <row r="248" spans="1:10">
      <c r="A248" s="36">
        <v>191301</v>
      </c>
      <c r="B248" s="37" t="s">
        <v>24</v>
      </c>
      <c r="C248" s="37" t="s">
        <v>288</v>
      </c>
      <c r="D248" s="38" t="str">
        <f>VLOOKUP(B248, Mapping!$A:$B, 2, FALSE)</f>
        <v>中部</v>
      </c>
      <c r="E248" s="38" t="str">
        <f>IFERROR(VLOOKUP(A248, '113_Faraway'!$A:$C, 3,FALSE),"非偏遠")</f>
        <v>非偏遠</v>
      </c>
      <c r="F248" s="33">
        <f>VLOOKUP(A248, '111_Raw'!$B:$D,3,FALSE)</f>
        <v>824</v>
      </c>
      <c r="G248" s="33">
        <f>VLOOKUP(A248, '113_Raw'!$B:$D,3,FALSE)</f>
        <v>835</v>
      </c>
      <c r="H248" s="35">
        <f t="shared" si="10"/>
        <v>1.2999999999999999E-2</v>
      </c>
      <c r="I248" s="38" t="str">
        <f t="shared" si="9"/>
        <v>穩定或成長</v>
      </c>
      <c r="J248" s="32" t="b">
        <f t="shared" si="11"/>
        <v>0</v>
      </c>
    </row>
    <row r="249" spans="1:10">
      <c r="A249" s="36">
        <v>191302</v>
      </c>
      <c r="B249" s="37" t="s">
        <v>24</v>
      </c>
      <c r="C249" s="37" t="s">
        <v>289</v>
      </c>
      <c r="D249" s="38" t="str">
        <f>VLOOKUP(B249, Mapping!$A:$B, 2, FALSE)</f>
        <v>中部</v>
      </c>
      <c r="E249" s="38" t="str">
        <f>IFERROR(VLOOKUP(A249, '113_Faraway'!$A:$C, 3,FALSE),"非偏遠")</f>
        <v>非偏遠</v>
      </c>
      <c r="F249" s="33">
        <f>VLOOKUP(A249, '111_Raw'!$B:$D,3,FALSE)</f>
        <v>429</v>
      </c>
      <c r="G249" s="33">
        <f>VLOOKUP(A249, '113_Raw'!$B:$D,3,FALSE)</f>
        <v>362</v>
      </c>
      <c r="H249" s="35">
        <f t="shared" si="10"/>
        <v>-0.156</v>
      </c>
      <c r="I249" s="38" t="str">
        <f t="shared" si="9"/>
        <v>明顯下降</v>
      </c>
      <c r="J249" s="32" t="b">
        <f t="shared" si="11"/>
        <v>1</v>
      </c>
    </row>
    <row r="250" spans="1:10">
      <c r="A250" s="36">
        <v>191305</v>
      </c>
      <c r="B250" s="37" t="s">
        <v>24</v>
      </c>
      <c r="C250" s="37" t="s">
        <v>290</v>
      </c>
      <c r="D250" s="38" t="str">
        <f>VLOOKUP(B250, Mapping!$A:$B, 2, FALSE)</f>
        <v>中部</v>
      </c>
      <c r="E250" s="38" t="str">
        <f>IFERROR(VLOOKUP(A250, '113_Faraway'!$A:$C, 3,FALSE),"非偏遠")</f>
        <v>非偏遠</v>
      </c>
      <c r="F250" s="33">
        <f>VLOOKUP(A250, '111_Raw'!$B:$D,3,FALSE)</f>
        <v>5371</v>
      </c>
      <c r="G250" s="33">
        <f>VLOOKUP(A250, '113_Raw'!$B:$D,3,FALSE)</f>
        <v>5113</v>
      </c>
      <c r="H250" s="35">
        <f t="shared" si="10"/>
        <v>-4.8000000000000001E-2</v>
      </c>
      <c r="I250" s="38" t="str">
        <f t="shared" si="9"/>
        <v>小幅下降</v>
      </c>
      <c r="J250" s="32" t="b">
        <f t="shared" si="11"/>
        <v>1</v>
      </c>
    </row>
    <row r="251" spans="1:10">
      <c r="A251" s="36">
        <v>191308</v>
      </c>
      <c r="B251" s="37" t="s">
        <v>24</v>
      </c>
      <c r="C251" s="37" t="s">
        <v>291</v>
      </c>
      <c r="D251" s="38" t="str">
        <f>VLOOKUP(B251, Mapping!$A:$B, 2, FALSE)</f>
        <v>中部</v>
      </c>
      <c r="E251" s="38" t="str">
        <f>IFERROR(VLOOKUP(A251, '113_Faraway'!$A:$C, 3,FALSE),"非偏遠")</f>
        <v>非偏遠</v>
      </c>
      <c r="F251" s="33">
        <f>VLOOKUP(A251, '111_Raw'!$B:$D,3,FALSE)</f>
        <v>1223</v>
      </c>
      <c r="G251" s="33">
        <f>VLOOKUP(A251, '113_Raw'!$B:$D,3,FALSE)</f>
        <v>1037</v>
      </c>
      <c r="H251" s="35">
        <f t="shared" si="10"/>
        <v>-0.152</v>
      </c>
      <c r="I251" s="38" t="str">
        <f t="shared" si="9"/>
        <v>明顯下降</v>
      </c>
      <c r="J251" s="32" t="b">
        <f t="shared" si="11"/>
        <v>1</v>
      </c>
    </row>
    <row r="252" spans="1:10">
      <c r="A252" s="36">
        <v>191309</v>
      </c>
      <c r="B252" s="37" t="s">
        <v>24</v>
      </c>
      <c r="C252" s="37" t="s">
        <v>292</v>
      </c>
      <c r="D252" s="38" t="str">
        <f>VLOOKUP(B252, Mapping!$A:$B, 2, FALSE)</f>
        <v>中部</v>
      </c>
      <c r="E252" s="38" t="str">
        <f>IFERROR(VLOOKUP(A252, '113_Faraway'!$A:$C, 3,FALSE),"非偏遠")</f>
        <v>非偏遠</v>
      </c>
      <c r="F252" s="33">
        <f>VLOOKUP(A252, '111_Raw'!$B:$D,3,FALSE)</f>
        <v>2341</v>
      </c>
      <c r="G252" s="33">
        <f>VLOOKUP(A252, '113_Raw'!$B:$D,3,FALSE)</f>
        <v>2141</v>
      </c>
      <c r="H252" s="35">
        <f t="shared" si="10"/>
        <v>-8.5000000000000006E-2</v>
      </c>
      <c r="I252" s="38" t="str">
        <f t="shared" si="9"/>
        <v>明顯下降</v>
      </c>
      <c r="J252" s="32" t="b">
        <f t="shared" si="11"/>
        <v>1</v>
      </c>
    </row>
    <row r="253" spans="1:10">
      <c r="A253" s="36">
        <v>191311</v>
      </c>
      <c r="B253" s="37" t="s">
        <v>24</v>
      </c>
      <c r="C253" s="37" t="s">
        <v>293</v>
      </c>
      <c r="D253" s="38" t="str">
        <f>VLOOKUP(B253, Mapping!$A:$B, 2, FALSE)</f>
        <v>中部</v>
      </c>
      <c r="E253" s="38" t="str">
        <f>IFERROR(VLOOKUP(A253, '113_Faraway'!$A:$C, 3,FALSE),"非偏遠")</f>
        <v>非偏遠</v>
      </c>
      <c r="F253" s="33">
        <f>VLOOKUP(A253, '111_Raw'!$B:$D,3,FALSE)</f>
        <v>1082</v>
      </c>
      <c r="G253" s="33">
        <f>VLOOKUP(A253, '113_Raw'!$B:$D,3,FALSE)</f>
        <v>1082</v>
      </c>
      <c r="H253" s="35">
        <f t="shared" si="10"/>
        <v>0</v>
      </c>
      <c r="I253" s="38" t="str">
        <f t="shared" si="9"/>
        <v>穩定或成長</v>
      </c>
      <c r="J253" s="32" t="b">
        <f t="shared" si="11"/>
        <v>0</v>
      </c>
    </row>
    <row r="254" spans="1:10">
      <c r="A254" s="36">
        <v>191313</v>
      </c>
      <c r="B254" s="37" t="s">
        <v>24</v>
      </c>
      <c r="C254" s="37" t="s">
        <v>294</v>
      </c>
      <c r="D254" s="38" t="str">
        <f>VLOOKUP(B254, Mapping!$A:$B, 2, FALSE)</f>
        <v>中部</v>
      </c>
      <c r="E254" s="38" t="str">
        <f>IFERROR(VLOOKUP(A254, '113_Faraway'!$A:$C, 3,FALSE),"非偏遠")</f>
        <v>非偏遠</v>
      </c>
      <c r="F254" s="33">
        <f>VLOOKUP(A254, '111_Raw'!$B:$D,3,FALSE)</f>
        <v>847</v>
      </c>
      <c r="G254" s="33">
        <f>VLOOKUP(A254, '113_Raw'!$B:$D,3,FALSE)</f>
        <v>833</v>
      </c>
      <c r="H254" s="35">
        <f t="shared" si="10"/>
        <v>-1.7000000000000001E-2</v>
      </c>
      <c r="I254" s="38" t="str">
        <f t="shared" ref="I254:I317" si="12">IF(H254&gt;=0,"穩定或成長",IF(H254&gt;-0.05,"小幅下降","明顯下降"))</f>
        <v>小幅下降</v>
      </c>
      <c r="J254" s="32" t="b">
        <f t="shared" si="11"/>
        <v>1</v>
      </c>
    </row>
    <row r="255" spans="1:10">
      <c r="A255" s="36">
        <v>191314</v>
      </c>
      <c r="B255" s="37" t="s">
        <v>24</v>
      </c>
      <c r="C255" s="37" t="s">
        <v>295</v>
      </c>
      <c r="D255" s="38" t="str">
        <f>VLOOKUP(B255, Mapping!$A:$B, 2, FALSE)</f>
        <v>中部</v>
      </c>
      <c r="E255" s="38" t="str">
        <f>IFERROR(VLOOKUP(A255, '113_Faraway'!$A:$C, 3,FALSE),"非偏遠")</f>
        <v>非偏遠</v>
      </c>
      <c r="F255" s="33">
        <f>VLOOKUP(A255, '111_Raw'!$B:$D,3,FALSE)</f>
        <v>2617</v>
      </c>
      <c r="G255" s="33">
        <f>VLOOKUP(A255, '113_Raw'!$B:$D,3,FALSE)</f>
        <v>2897</v>
      </c>
      <c r="H255" s="35">
        <f t="shared" si="10"/>
        <v>0.107</v>
      </c>
      <c r="I255" s="38" t="str">
        <f t="shared" si="12"/>
        <v>穩定或成長</v>
      </c>
      <c r="J255" s="32" t="b">
        <f t="shared" si="11"/>
        <v>0</v>
      </c>
    </row>
    <row r="256" spans="1:10">
      <c r="A256" s="36">
        <v>191315</v>
      </c>
      <c r="B256" s="37" t="s">
        <v>24</v>
      </c>
      <c r="C256" s="37" t="s">
        <v>296</v>
      </c>
      <c r="D256" s="38" t="str">
        <f>VLOOKUP(B256, Mapping!$A:$B, 2, FALSE)</f>
        <v>中部</v>
      </c>
      <c r="E256" s="38" t="str">
        <f>IFERROR(VLOOKUP(A256, '113_Faraway'!$A:$C, 3,FALSE),"非偏遠")</f>
        <v>非偏遠</v>
      </c>
      <c r="F256" s="33">
        <f>VLOOKUP(A256, '111_Raw'!$B:$D,3,FALSE)</f>
        <v>53</v>
      </c>
      <c r="G256" s="33">
        <f>VLOOKUP(A256, '113_Raw'!$B:$D,3,FALSE)</f>
        <v>61</v>
      </c>
      <c r="H256" s="35">
        <f t="shared" si="10"/>
        <v>0.151</v>
      </c>
      <c r="I256" s="38" t="str">
        <f t="shared" si="12"/>
        <v>穩定或成長</v>
      </c>
      <c r="J256" s="32" t="b">
        <f t="shared" si="11"/>
        <v>0</v>
      </c>
    </row>
    <row r="257" spans="1:10">
      <c r="A257" s="36">
        <v>193301</v>
      </c>
      <c r="B257" s="37" t="s">
        <v>24</v>
      </c>
      <c r="C257" s="37" t="s">
        <v>297</v>
      </c>
      <c r="D257" s="38" t="str">
        <f>VLOOKUP(B257, Mapping!$A:$B, 2, FALSE)</f>
        <v>中部</v>
      </c>
      <c r="E257" s="38" t="str">
        <f>IFERROR(VLOOKUP(A257, '113_Faraway'!$A:$C, 3,FALSE),"非偏遠")</f>
        <v>非偏遠</v>
      </c>
      <c r="F257" s="33">
        <f>VLOOKUP(A257, '111_Raw'!$B:$D,3,FALSE)</f>
        <v>1906</v>
      </c>
      <c r="G257" s="33">
        <f>VLOOKUP(A257, '113_Raw'!$B:$D,3,FALSE)</f>
        <v>1913</v>
      </c>
      <c r="H257" s="35">
        <f t="shared" si="10"/>
        <v>4.0000000000000001E-3</v>
      </c>
      <c r="I257" s="38" t="str">
        <f t="shared" si="12"/>
        <v>穩定或成長</v>
      </c>
      <c r="J257" s="32" t="b">
        <f t="shared" si="11"/>
        <v>0</v>
      </c>
    </row>
    <row r="258" spans="1:10">
      <c r="A258" s="36">
        <v>193302</v>
      </c>
      <c r="B258" s="37" t="s">
        <v>24</v>
      </c>
      <c r="C258" s="37" t="s">
        <v>298</v>
      </c>
      <c r="D258" s="38" t="str">
        <f>VLOOKUP(B258, Mapping!$A:$B, 2, FALSE)</f>
        <v>中部</v>
      </c>
      <c r="E258" s="38" t="str">
        <f>IFERROR(VLOOKUP(A258, '113_Faraway'!$A:$C, 3,FALSE),"非偏遠")</f>
        <v>非偏遠</v>
      </c>
      <c r="F258" s="33">
        <f>VLOOKUP(A258, '111_Raw'!$B:$D,3,FALSE)</f>
        <v>2706</v>
      </c>
      <c r="G258" s="33">
        <f>VLOOKUP(A258, '113_Raw'!$B:$D,3,FALSE)</f>
        <v>2715</v>
      </c>
      <c r="H258" s="35">
        <f t="shared" si="10"/>
        <v>3.0000000000000001E-3</v>
      </c>
      <c r="I258" s="38" t="str">
        <f t="shared" si="12"/>
        <v>穩定或成長</v>
      </c>
      <c r="J258" s="32" t="b">
        <f t="shared" si="11"/>
        <v>0</v>
      </c>
    </row>
    <row r="259" spans="1:10">
      <c r="A259" s="36">
        <v>193303</v>
      </c>
      <c r="B259" s="37" t="s">
        <v>24</v>
      </c>
      <c r="C259" s="37" t="s">
        <v>299</v>
      </c>
      <c r="D259" s="38" t="str">
        <f>VLOOKUP(B259, Mapping!$A:$B, 2, FALSE)</f>
        <v>中部</v>
      </c>
      <c r="E259" s="38" t="str">
        <f>IFERROR(VLOOKUP(A259, '113_Faraway'!$A:$C, 3,FALSE),"非偏遠")</f>
        <v>非偏遠</v>
      </c>
      <c r="F259" s="33">
        <f>VLOOKUP(A259, '111_Raw'!$B:$D,3,FALSE)</f>
        <v>903</v>
      </c>
      <c r="G259" s="33">
        <f>VLOOKUP(A259, '113_Raw'!$B:$D,3,FALSE)</f>
        <v>932</v>
      </c>
      <c r="H259" s="35">
        <f t="shared" ref="H259:H322" si="13">ROUND((G259-F259)/F259,3)</f>
        <v>3.2000000000000001E-2</v>
      </c>
      <c r="I259" s="38" t="str">
        <f t="shared" si="12"/>
        <v>穩定或成長</v>
      </c>
      <c r="J259" s="32" t="b">
        <f t="shared" ref="J259:J322" si="14">IF(H259 &lt; $K$2, TRUE, FALSE)</f>
        <v>0</v>
      </c>
    </row>
    <row r="260" spans="1:10">
      <c r="A260" s="36">
        <v>193313</v>
      </c>
      <c r="B260" s="37" t="s">
        <v>24</v>
      </c>
      <c r="C260" s="37" t="s">
        <v>300</v>
      </c>
      <c r="D260" s="38" t="str">
        <f>VLOOKUP(B260, Mapping!$A:$B, 2, FALSE)</f>
        <v>中部</v>
      </c>
      <c r="E260" s="38" t="str">
        <f>IFERROR(VLOOKUP(A260, '113_Faraway'!$A:$C, 3,FALSE),"非偏遠")</f>
        <v>非偏遠</v>
      </c>
      <c r="F260" s="33">
        <f>VLOOKUP(A260, '111_Raw'!$B:$D,3,FALSE)</f>
        <v>958</v>
      </c>
      <c r="G260" s="33">
        <f>VLOOKUP(A260, '113_Raw'!$B:$D,3,FALSE)</f>
        <v>990</v>
      </c>
      <c r="H260" s="35">
        <f t="shared" si="13"/>
        <v>3.3000000000000002E-2</v>
      </c>
      <c r="I260" s="38" t="str">
        <f t="shared" si="12"/>
        <v>穩定或成長</v>
      </c>
      <c r="J260" s="32" t="b">
        <f t="shared" si="14"/>
        <v>0</v>
      </c>
    </row>
    <row r="261" spans="1:10">
      <c r="A261" s="36">
        <v>193315</v>
      </c>
      <c r="B261" s="37" t="s">
        <v>24</v>
      </c>
      <c r="C261" s="37" t="s">
        <v>301</v>
      </c>
      <c r="D261" s="38" t="str">
        <f>VLOOKUP(B261, Mapping!$A:$B, 2, FALSE)</f>
        <v>中部</v>
      </c>
      <c r="E261" s="38" t="str">
        <f>IFERROR(VLOOKUP(A261, '113_Faraway'!$A:$C, 3,FALSE),"非偏遠")</f>
        <v>非偏遠</v>
      </c>
      <c r="F261" s="33">
        <f>VLOOKUP(A261, '111_Raw'!$B:$D,3,FALSE)</f>
        <v>1006</v>
      </c>
      <c r="G261" s="33">
        <f>VLOOKUP(A261, '113_Raw'!$B:$D,3,FALSE)</f>
        <v>996</v>
      </c>
      <c r="H261" s="35">
        <f t="shared" si="13"/>
        <v>-0.01</v>
      </c>
      <c r="I261" s="38" t="str">
        <f t="shared" si="12"/>
        <v>小幅下降</v>
      </c>
      <c r="J261" s="32" t="b">
        <f t="shared" si="14"/>
        <v>0</v>
      </c>
    </row>
    <row r="262" spans="1:10">
      <c r="A262" s="36">
        <v>193316</v>
      </c>
      <c r="B262" s="37" t="s">
        <v>24</v>
      </c>
      <c r="C262" s="37" t="s">
        <v>302</v>
      </c>
      <c r="D262" s="38" t="str">
        <f>VLOOKUP(B262, Mapping!$A:$B, 2, FALSE)</f>
        <v>中部</v>
      </c>
      <c r="E262" s="38" t="str">
        <f>IFERROR(VLOOKUP(A262, '113_Faraway'!$A:$C, 3,FALSE),"非偏遠")</f>
        <v>非偏遠</v>
      </c>
      <c r="F262" s="33">
        <f>VLOOKUP(A262, '111_Raw'!$B:$D,3,FALSE)</f>
        <v>1192</v>
      </c>
      <c r="G262" s="33">
        <f>VLOOKUP(A262, '113_Raw'!$B:$D,3,FALSE)</f>
        <v>1194</v>
      </c>
      <c r="H262" s="35">
        <f t="shared" si="13"/>
        <v>2E-3</v>
      </c>
      <c r="I262" s="38" t="str">
        <f t="shared" si="12"/>
        <v>穩定或成長</v>
      </c>
      <c r="J262" s="32" t="b">
        <f t="shared" si="14"/>
        <v>0</v>
      </c>
    </row>
    <row r="263" spans="1:10">
      <c r="A263" s="36">
        <v>194303</v>
      </c>
      <c r="B263" s="37" t="s">
        <v>24</v>
      </c>
      <c r="C263" s="37" t="s">
        <v>303</v>
      </c>
      <c r="D263" s="38" t="str">
        <f>VLOOKUP(B263, Mapping!$A:$B, 2, FALSE)</f>
        <v>中部</v>
      </c>
      <c r="E263" s="38" t="str">
        <f>IFERROR(VLOOKUP(A263, '113_Faraway'!$A:$C, 3,FALSE),"非偏遠")</f>
        <v>非偏遠</v>
      </c>
      <c r="F263" s="33">
        <f>VLOOKUP(A263, '111_Raw'!$B:$D,3,FALSE)</f>
        <v>2395</v>
      </c>
      <c r="G263" s="33">
        <f>VLOOKUP(A263, '113_Raw'!$B:$D,3,FALSE)</f>
        <v>2390</v>
      </c>
      <c r="H263" s="35">
        <f t="shared" si="13"/>
        <v>-2E-3</v>
      </c>
      <c r="I263" s="38" t="str">
        <f t="shared" si="12"/>
        <v>小幅下降</v>
      </c>
      <c r="J263" s="32" t="b">
        <f t="shared" si="14"/>
        <v>0</v>
      </c>
    </row>
    <row r="264" spans="1:10">
      <c r="A264" s="36">
        <v>194315</v>
      </c>
      <c r="B264" s="37" t="s">
        <v>24</v>
      </c>
      <c r="C264" s="37" t="s">
        <v>304</v>
      </c>
      <c r="D264" s="38" t="str">
        <f>VLOOKUP(B264, Mapping!$A:$B, 2, FALSE)</f>
        <v>中部</v>
      </c>
      <c r="E264" s="38" t="str">
        <f>IFERROR(VLOOKUP(A264, '113_Faraway'!$A:$C, 3,FALSE),"非偏遠")</f>
        <v>非偏遠</v>
      </c>
      <c r="F264" s="33">
        <f>VLOOKUP(A264, '111_Raw'!$B:$D,3,FALSE)</f>
        <v>2085</v>
      </c>
      <c r="G264" s="33">
        <f>VLOOKUP(A264, '113_Raw'!$B:$D,3,FALSE)</f>
        <v>2094</v>
      </c>
      <c r="H264" s="35">
        <f t="shared" si="13"/>
        <v>4.0000000000000001E-3</v>
      </c>
      <c r="I264" s="38" t="str">
        <f t="shared" si="12"/>
        <v>穩定或成長</v>
      </c>
      <c r="J264" s="32" t="b">
        <f t="shared" si="14"/>
        <v>0</v>
      </c>
    </row>
    <row r="265" spans="1:10">
      <c r="A265" s="36">
        <v>200302</v>
      </c>
      <c r="B265" s="37" t="s">
        <v>36</v>
      </c>
      <c r="C265" s="37" t="s">
        <v>305</v>
      </c>
      <c r="D265" s="38" t="str">
        <f>VLOOKUP(B265, Mapping!$A:$B, 2, FALSE)</f>
        <v>南部</v>
      </c>
      <c r="E265" s="38" t="str">
        <f>IFERROR(VLOOKUP(A265, '113_Faraway'!$A:$C, 3,FALSE),"非偏遠")</f>
        <v>非偏遠</v>
      </c>
      <c r="F265" s="33">
        <f>VLOOKUP(A265, '111_Raw'!$B:$D,3,FALSE)</f>
        <v>1568</v>
      </c>
      <c r="G265" s="33">
        <f>VLOOKUP(A265, '113_Raw'!$B:$D,3,FALSE)</f>
        <v>1570</v>
      </c>
      <c r="H265" s="35">
        <f t="shared" si="13"/>
        <v>1E-3</v>
      </c>
      <c r="I265" s="38" t="str">
        <f t="shared" si="12"/>
        <v>穩定或成長</v>
      </c>
      <c r="J265" s="32" t="b">
        <f t="shared" si="14"/>
        <v>0</v>
      </c>
    </row>
    <row r="266" spans="1:10">
      <c r="A266" s="36">
        <v>200303</v>
      </c>
      <c r="B266" s="37" t="s">
        <v>36</v>
      </c>
      <c r="C266" s="37" t="s">
        <v>306</v>
      </c>
      <c r="D266" s="38" t="str">
        <f>VLOOKUP(B266, Mapping!$A:$B, 2, FALSE)</f>
        <v>南部</v>
      </c>
      <c r="E266" s="38" t="str">
        <f>IFERROR(VLOOKUP(A266, '113_Faraway'!$A:$C, 3,FALSE),"非偏遠")</f>
        <v>非偏遠</v>
      </c>
      <c r="F266" s="33">
        <f>VLOOKUP(A266, '111_Raw'!$B:$D,3,FALSE)</f>
        <v>2057</v>
      </c>
      <c r="G266" s="33">
        <f>VLOOKUP(A266, '113_Raw'!$B:$D,3,FALSE)</f>
        <v>2023</v>
      </c>
      <c r="H266" s="35">
        <f t="shared" si="13"/>
        <v>-1.7000000000000001E-2</v>
      </c>
      <c r="I266" s="38" t="str">
        <f t="shared" si="12"/>
        <v>小幅下降</v>
      </c>
      <c r="J266" s="32" t="b">
        <f t="shared" si="14"/>
        <v>1</v>
      </c>
    </row>
    <row r="267" spans="1:10">
      <c r="A267" s="36">
        <v>201304</v>
      </c>
      <c r="B267" s="37" t="s">
        <v>36</v>
      </c>
      <c r="C267" s="37" t="s">
        <v>307</v>
      </c>
      <c r="D267" s="38" t="str">
        <f>VLOOKUP(B267, Mapping!$A:$B, 2, FALSE)</f>
        <v>南部</v>
      </c>
      <c r="E267" s="38" t="str">
        <f>IFERROR(VLOOKUP(A267, '113_Faraway'!$A:$C, 3,FALSE),"非偏遠")</f>
        <v>非偏遠</v>
      </c>
      <c r="F267" s="33">
        <f>VLOOKUP(A267, '111_Raw'!$B:$D,3,FALSE)</f>
        <v>719</v>
      </c>
      <c r="G267" s="33">
        <f>VLOOKUP(A267, '113_Raw'!$B:$D,3,FALSE)</f>
        <v>481</v>
      </c>
      <c r="H267" s="35">
        <f t="shared" si="13"/>
        <v>-0.33100000000000002</v>
      </c>
      <c r="I267" s="38" t="str">
        <f t="shared" si="12"/>
        <v>明顯下降</v>
      </c>
      <c r="J267" s="32" t="b">
        <f t="shared" si="14"/>
        <v>1</v>
      </c>
    </row>
    <row r="268" spans="1:10">
      <c r="A268" s="36">
        <v>201310</v>
      </c>
      <c r="B268" s="37" t="s">
        <v>36</v>
      </c>
      <c r="C268" s="37" t="s">
        <v>309</v>
      </c>
      <c r="D268" s="38" t="str">
        <f>VLOOKUP(B268, Mapping!$A:$B, 2, FALSE)</f>
        <v>南部</v>
      </c>
      <c r="E268" s="38" t="str">
        <f>IFERROR(VLOOKUP(A268, '113_Faraway'!$A:$C, 3,FALSE),"非偏遠")</f>
        <v>非偏遠</v>
      </c>
      <c r="F268" s="33">
        <f>VLOOKUP(A268, '111_Raw'!$B:$D,3,FALSE)</f>
        <v>432</v>
      </c>
      <c r="G268" s="33">
        <f>VLOOKUP(A268, '113_Raw'!$B:$D,3,FALSE)</f>
        <v>556</v>
      </c>
      <c r="H268" s="35">
        <f t="shared" si="13"/>
        <v>0.28699999999999998</v>
      </c>
      <c r="I268" s="38" t="str">
        <f t="shared" si="12"/>
        <v>穩定或成長</v>
      </c>
      <c r="J268" s="32" t="b">
        <f t="shared" si="14"/>
        <v>0</v>
      </c>
    </row>
    <row r="269" spans="1:10">
      <c r="A269" s="36">
        <v>201312</v>
      </c>
      <c r="B269" s="37" t="s">
        <v>36</v>
      </c>
      <c r="C269" s="37" t="s">
        <v>310</v>
      </c>
      <c r="D269" s="38" t="str">
        <f>VLOOKUP(B269, Mapping!$A:$B, 2, FALSE)</f>
        <v>南部</v>
      </c>
      <c r="E269" s="38" t="str">
        <f>IFERROR(VLOOKUP(A269, '113_Faraway'!$A:$C, 3,FALSE),"非偏遠")</f>
        <v>非偏遠</v>
      </c>
      <c r="F269" s="33">
        <f>VLOOKUP(A269, '111_Raw'!$B:$D,3,FALSE)</f>
        <v>740</v>
      </c>
      <c r="G269" s="33">
        <f>VLOOKUP(A269, '113_Raw'!$B:$D,3,FALSE)</f>
        <v>644</v>
      </c>
      <c r="H269" s="35">
        <f t="shared" si="13"/>
        <v>-0.13</v>
      </c>
      <c r="I269" s="38" t="str">
        <f t="shared" si="12"/>
        <v>明顯下降</v>
      </c>
      <c r="J269" s="32" t="b">
        <f t="shared" si="14"/>
        <v>1</v>
      </c>
    </row>
    <row r="270" spans="1:10">
      <c r="A270" s="36">
        <v>201313</v>
      </c>
      <c r="B270" s="37" t="s">
        <v>36</v>
      </c>
      <c r="C270" s="37" t="s">
        <v>615</v>
      </c>
      <c r="D270" s="38" t="str">
        <f>VLOOKUP(B270, Mapping!$A:$B, 2, FALSE)</f>
        <v>南部</v>
      </c>
      <c r="E270" s="38" t="str">
        <f>IFERROR(VLOOKUP(A270, '113_Faraway'!$A:$C, 3,FALSE),"非偏遠")</f>
        <v>非偏遠</v>
      </c>
      <c r="F270" s="33">
        <f>VLOOKUP(A270, '111_Raw'!$B:$D,3,FALSE)</f>
        <v>143</v>
      </c>
      <c r="G270" s="33">
        <f>VLOOKUP(A270, '113_Raw'!$B:$D,3,FALSE)</f>
        <v>82</v>
      </c>
      <c r="H270" s="35">
        <f t="shared" si="13"/>
        <v>-0.42699999999999999</v>
      </c>
      <c r="I270" s="38" t="str">
        <f t="shared" si="12"/>
        <v>明顯下降</v>
      </c>
      <c r="J270" s="32" t="b">
        <f t="shared" si="14"/>
        <v>1</v>
      </c>
    </row>
    <row r="271" spans="1:10">
      <c r="A271" s="36">
        <v>201314</v>
      </c>
      <c r="B271" s="37" t="s">
        <v>36</v>
      </c>
      <c r="C271" s="37" t="s">
        <v>312</v>
      </c>
      <c r="D271" s="38" t="str">
        <f>VLOOKUP(B271, Mapping!$A:$B, 2, FALSE)</f>
        <v>南部</v>
      </c>
      <c r="E271" s="38" t="str">
        <f>IFERROR(VLOOKUP(A271, '113_Faraway'!$A:$C, 3,FALSE),"非偏遠")</f>
        <v>非偏遠</v>
      </c>
      <c r="F271" s="33">
        <f>VLOOKUP(A271, '111_Raw'!$B:$D,3,FALSE)</f>
        <v>130</v>
      </c>
      <c r="G271" s="33">
        <f>VLOOKUP(A271, '113_Raw'!$B:$D,3,FALSE)</f>
        <v>54</v>
      </c>
      <c r="H271" s="35">
        <f t="shared" si="13"/>
        <v>-0.58499999999999996</v>
      </c>
      <c r="I271" s="38" t="str">
        <f t="shared" si="12"/>
        <v>明顯下降</v>
      </c>
      <c r="J271" s="32" t="b">
        <f t="shared" si="14"/>
        <v>1</v>
      </c>
    </row>
    <row r="272" spans="1:10">
      <c r="A272" s="36">
        <v>210303</v>
      </c>
      <c r="B272" s="37" t="s">
        <v>29</v>
      </c>
      <c r="C272" s="37" t="s">
        <v>313</v>
      </c>
      <c r="D272" s="38" t="str">
        <f>VLOOKUP(B272, Mapping!$A:$B, 2, FALSE)</f>
        <v>南部</v>
      </c>
      <c r="E272" s="38" t="str">
        <f>IFERROR(VLOOKUP(A272, '113_Faraway'!$A:$C, 3,FALSE),"非偏遠")</f>
        <v>非偏遠</v>
      </c>
      <c r="F272" s="33">
        <f>VLOOKUP(A272, '111_Raw'!$B:$D,3,FALSE)</f>
        <v>1953</v>
      </c>
      <c r="G272" s="33">
        <f>VLOOKUP(A272, '113_Raw'!$B:$D,3,FALSE)</f>
        <v>1959</v>
      </c>
      <c r="H272" s="35">
        <f t="shared" si="13"/>
        <v>3.0000000000000001E-3</v>
      </c>
      <c r="I272" s="38" t="str">
        <f t="shared" si="12"/>
        <v>穩定或成長</v>
      </c>
      <c r="J272" s="32" t="b">
        <f t="shared" si="14"/>
        <v>0</v>
      </c>
    </row>
    <row r="273" spans="1:10">
      <c r="A273" s="36">
        <v>210305</v>
      </c>
      <c r="B273" s="37" t="s">
        <v>29</v>
      </c>
      <c r="C273" s="37" t="s">
        <v>314</v>
      </c>
      <c r="D273" s="38" t="str">
        <f>VLOOKUP(B273, Mapping!$A:$B, 2, FALSE)</f>
        <v>南部</v>
      </c>
      <c r="E273" s="38" t="str">
        <f>IFERROR(VLOOKUP(A273, '113_Faraway'!$A:$C, 3,FALSE),"非偏遠")</f>
        <v>非偏遠</v>
      </c>
      <c r="F273" s="33">
        <f>VLOOKUP(A273, '111_Raw'!$B:$D,3,FALSE)</f>
        <v>2028</v>
      </c>
      <c r="G273" s="33">
        <f>VLOOKUP(A273, '113_Raw'!$B:$D,3,FALSE)</f>
        <v>2072</v>
      </c>
      <c r="H273" s="35">
        <f t="shared" si="13"/>
        <v>2.1999999999999999E-2</v>
      </c>
      <c r="I273" s="38" t="str">
        <f t="shared" si="12"/>
        <v>穩定或成長</v>
      </c>
      <c r="J273" s="32" t="b">
        <f t="shared" si="14"/>
        <v>0</v>
      </c>
    </row>
    <row r="274" spans="1:10">
      <c r="A274" s="36">
        <v>210306</v>
      </c>
      <c r="B274" s="37" t="s">
        <v>29</v>
      </c>
      <c r="C274" s="37" t="s">
        <v>315</v>
      </c>
      <c r="D274" s="38" t="str">
        <f>VLOOKUP(B274, Mapping!$A:$B, 2, FALSE)</f>
        <v>南部</v>
      </c>
      <c r="E274" s="38" t="str">
        <f>IFERROR(VLOOKUP(A274, '113_Faraway'!$A:$C, 3,FALSE),"非偏遠")</f>
        <v>非偏遠</v>
      </c>
      <c r="F274" s="33">
        <f>VLOOKUP(A274, '111_Raw'!$B:$D,3,FALSE)</f>
        <v>1942</v>
      </c>
      <c r="G274" s="33">
        <f>VLOOKUP(A274, '113_Raw'!$B:$D,3,FALSE)</f>
        <v>1958</v>
      </c>
      <c r="H274" s="35">
        <f t="shared" si="13"/>
        <v>8.0000000000000002E-3</v>
      </c>
      <c r="I274" s="38" t="str">
        <f t="shared" si="12"/>
        <v>穩定或成長</v>
      </c>
      <c r="J274" s="32" t="b">
        <f t="shared" si="14"/>
        <v>0</v>
      </c>
    </row>
    <row r="275" spans="1:10">
      <c r="A275" s="36">
        <v>210309</v>
      </c>
      <c r="B275" s="37" t="s">
        <v>29</v>
      </c>
      <c r="C275" s="37" t="s">
        <v>316</v>
      </c>
      <c r="D275" s="38" t="str">
        <f>VLOOKUP(B275, Mapping!$A:$B, 2, FALSE)</f>
        <v>南部</v>
      </c>
      <c r="E275" s="38" t="str">
        <f>IFERROR(VLOOKUP(A275, '113_Faraway'!$A:$C, 3,FALSE),"非偏遠")</f>
        <v>非偏遠</v>
      </c>
      <c r="F275" s="33">
        <f>VLOOKUP(A275, '111_Raw'!$B:$D,3,FALSE)</f>
        <v>1675</v>
      </c>
      <c r="G275" s="33">
        <f>VLOOKUP(A275, '113_Raw'!$B:$D,3,FALSE)</f>
        <v>1704</v>
      </c>
      <c r="H275" s="35">
        <f t="shared" si="13"/>
        <v>1.7000000000000001E-2</v>
      </c>
      <c r="I275" s="38" t="str">
        <f t="shared" si="12"/>
        <v>穩定或成長</v>
      </c>
      <c r="J275" s="32" t="b">
        <f t="shared" si="14"/>
        <v>0</v>
      </c>
    </row>
    <row r="276" spans="1:10">
      <c r="A276" s="36">
        <v>211301</v>
      </c>
      <c r="B276" s="37" t="s">
        <v>29</v>
      </c>
      <c r="C276" s="37" t="s">
        <v>317</v>
      </c>
      <c r="D276" s="38" t="str">
        <f>VLOOKUP(B276, Mapping!$A:$B, 2, FALSE)</f>
        <v>南部</v>
      </c>
      <c r="E276" s="38" t="str">
        <f>IFERROR(VLOOKUP(A276, '113_Faraway'!$A:$C, 3,FALSE),"非偏遠")</f>
        <v>非偏遠</v>
      </c>
      <c r="F276" s="33">
        <f>VLOOKUP(A276, '111_Raw'!$B:$D,3,FALSE)</f>
        <v>1423</v>
      </c>
      <c r="G276" s="33">
        <f>VLOOKUP(A276, '113_Raw'!$B:$D,3,FALSE)</f>
        <v>1464</v>
      </c>
      <c r="H276" s="35">
        <f t="shared" si="13"/>
        <v>2.9000000000000001E-2</v>
      </c>
      <c r="I276" s="38" t="str">
        <f t="shared" si="12"/>
        <v>穩定或成長</v>
      </c>
      <c r="J276" s="32" t="b">
        <f t="shared" si="14"/>
        <v>0</v>
      </c>
    </row>
    <row r="277" spans="1:10">
      <c r="A277" s="36">
        <v>211302</v>
      </c>
      <c r="B277" s="37" t="s">
        <v>29</v>
      </c>
      <c r="C277" s="37" t="s">
        <v>318</v>
      </c>
      <c r="D277" s="38" t="str">
        <f>VLOOKUP(B277, Mapping!$A:$B, 2, FALSE)</f>
        <v>南部</v>
      </c>
      <c r="E277" s="38" t="str">
        <f>IFERROR(VLOOKUP(A277, '113_Faraway'!$A:$C, 3,FALSE),"非偏遠")</f>
        <v>非偏遠</v>
      </c>
      <c r="F277" s="33">
        <f>VLOOKUP(A277, '111_Raw'!$B:$D,3,FALSE)</f>
        <v>568</v>
      </c>
      <c r="G277" s="33">
        <f>VLOOKUP(A277, '113_Raw'!$B:$D,3,FALSE)</f>
        <v>539</v>
      </c>
      <c r="H277" s="35">
        <f t="shared" si="13"/>
        <v>-5.0999999999999997E-2</v>
      </c>
      <c r="I277" s="38" t="str">
        <f t="shared" si="12"/>
        <v>明顯下降</v>
      </c>
      <c r="J277" s="32" t="b">
        <f t="shared" si="14"/>
        <v>1</v>
      </c>
    </row>
    <row r="278" spans="1:10">
      <c r="A278" s="36">
        <v>211304</v>
      </c>
      <c r="B278" s="37" t="s">
        <v>29</v>
      </c>
      <c r="C278" s="37" t="s">
        <v>319</v>
      </c>
      <c r="D278" s="38" t="str">
        <f>VLOOKUP(B278, Mapping!$A:$B, 2, FALSE)</f>
        <v>南部</v>
      </c>
      <c r="E278" s="38" t="str">
        <f>IFERROR(VLOOKUP(A278, '113_Faraway'!$A:$C, 3,FALSE),"非偏遠")</f>
        <v>非偏遠</v>
      </c>
      <c r="F278" s="33">
        <f>VLOOKUP(A278, '111_Raw'!$B:$D,3,FALSE)</f>
        <v>741</v>
      </c>
      <c r="G278" s="33">
        <f>VLOOKUP(A278, '113_Raw'!$B:$D,3,FALSE)</f>
        <v>784</v>
      </c>
      <c r="H278" s="35">
        <f t="shared" si="13"/>
        <v>5.8000000000000003E-2</v>
      </c>
      <c r="I278" s="38" t="str">
        <f t="shared" si="12"/>
        <v>穩定或成長</v>
      </c>
      <c r="J278" s="32" t="b">
        <f t="shared" si="14"/>
        <v>0</v>
      </c>
    </row>
    <row r="279" spans="1:10">
      <c r="A279" s="36">
        <v>211310</v>
      </c>
      <c r="B279" s="37" t="s">
        <v>29</v>
      </c>
      <c r="C279" s="37" t="s">
        <v>320</v>
      </c>
      <c r="D279" s="38" t="str">
        <f>VLOOKUP(B279, Mapping!$A:$B, 2, FALSE)</f>
        <v>南部</v>
      </c>
      <c r="E279" s="38" t="str">
        <f>IFERROR(VLOOKUP(A279, '113_Faraway'!$A:$C, 3,FALSE),"非偏遠")</f>
        <v>非偏遠</v>
      </c>
      <c r="F279" s="33">
        <f>VLOOKUP(A279, '111_Raw'!$B:$D,3,FALSE)</f>
        <v>1322</v>
      </c>
      <c r="G279" s="33">
        <f>VLOOKUP(A279, '113_Raw'!$B:$D,3,FALSE)</f>
        <v>1241</v>
      </c>
      <c r="H279" s="35">
        <f t="shared" si="13"/>
        <v>-6.0999999999999999E-2</v>
      </c>
      <c r="I279" s="38" t="str">
        <f t="shared" si="12"/>
        <v>明顯下降</v>
      </c>
      <c r="J279" s="32" t="b">
        <f t="shared" si="14"/>
        <v>1</v>
      </c>
    </row>
    <row r="280" spans="1:10">
      <c r="A280" s="36">
        <v>211314</v>
      </c>
      <c r="B280" s="37" t="s">
        <v>29</v>
      </c>
      <c r="C280" s="37" t="s">
        <v>321</v>
      </c>
      <c r="D280" s="38" t="str">
        <f>VLOOKUP(B280, Mapping!$A:$B, 2, FALSE)</f>
        <v>南部</v>
      </c>
      <c r="E280" s="38" t="str">
        <f>IFERROR(VLOOKUP(A280, '113_Faraway'!$A:$C, 3,FALSE),"非偏遠")</f>
        <v>非偏遠</v>
      </c>
      <c r="F280" s="33">
        <f>VLOOKUP(A280, '111_Raw'!$B:$D,3,FALSE)</f>
        <v>442</v>
      </c>
      <c r="G280" s="33">
        <f>VLOOKUP(A280, '113_Raw'!$B:$D,3,FALSE)</f>
        <v>433</v>
      </c>
      <c r="H280" s="35">
        <f t="shared" si="13"/>
        <v>-0.02</v>
      </c>
      <c r="I280" s="38" t="str">
        <f t="shared" si="12"/>
        <v>小幅下降</v>
      </c>
      <c r="J280" s="32" t="b">
        <f t="shared" si="14"/>
        <v>1</v>
      </c>
    </row>
    <row r="281" spans="1:10">
      <c r="A281" s="36">
        <v>211315</v>
      </c>
      <c r="B281" s="37" t="s">
        <v>29</v>
      </c>
      <c r="C281" s="37" t="s">
        <v>322</v>
      </c>
      <c r="D281" s="38" t="str">
        <f>VLOOKUP(B281, Mapping!$A:$B, 2, FALSE)</f>
        <v>南部</v>
      </c>
      <c r="E281" s="38" t="str">
        <f>IFERROR(VLOOKUP(A281, '113_Faraway'!$A:$C, 3,FALSE),"非偏遠")</f>
        <v>非偏遠</v>
      </c>
      <c r="F281" s="33">
        <f>VLOOKUP(A281, '111_Raw'!$B:$D,3,FALSE)</f>
        <v>1078</v>
      </c>
      <c r="G281" s="33">
        <f>VLOOKUP(A281, '113_Raw'!$B:$D,3,FALSE)</f>
        <v>1074</v>
      </c>
      <c r="H281" s="35">
        <f t="shared" si="13"/>
        <v>-4.0000000000000001E-3</v>
      </c>
      <c r="I281" s="38" t="str">
        <f t="shared" si="12"/>
        <v>小幅下降</v>
      </c>
      <c r="J281" s="32" t="b">
        <f t="shared" si="14"/>
        <v>0</v>
      </c>
    </row>
    <row r="282" spans="1:10">
      <c r="A282" s="36">
        <v>211317</v>
      </c>
      <c r="B282" s="37" t="s">
        <v>29</v>
      </c>
      <c r="C282" s="37" t="s">
        <v>323</v>
      </c>
      <c r="D282" s="38" t="str">
        <f>VLOOKUP(B282, Mapping!$A:$B, 2, FALSE)</f>
        <v>南部</v>
      </c>
      <c r="E282" s="38" t="str">
        <f>IFERROR(VLOOKUP(A282, '113_Faraway'!$A:$C, 3,FALSE),"非偏遠")</f>
        <v>非偏遠</v>
      </c>
      <c r="F282" s="33">
        <f>VLOOKUP(A282, '111_Raw'!$B:$D,3,FALSE)</f>
        <v>109</v>
      </c>
      <c r="G282" s="33">
        <f>VLOOKUP(A282, '113_Raw'!$B:$D,3,FALSE)</f>
        <v>21</v>
      </c>
      <c r="H282" s="35">
        <f t="shared" si="13"/>
        <v>-0.80700000000000005</v>
      </c>
      <c r="I282" s="38" t="str">
        <f t="shared" si="12"/>
        <v>明顯下降</v>
      </c>
      <c r="J282" s="32" t="b">
        <f t="shared" si="14"/>
        <v>1</v>
      </c>
    </row>
    <row r="283" spans="1:10">
      <c r="A283" s="36">
        <v>211318</v>
      </c>
      <c r="B283" s="37" t="s">
        <v>29</v>
      </c>
      <c r="C283" s="37" t="s">
        <v>324</v>
      </c>
      <c r="D283" s="38" t="str">
        <f>VLOOKUP(B283, Mapping!$A:$B, 2, FALSE)</f>
        <v>南部</v>
      </c>
      <c r="E283" s="38" t="str">
        <f>IFERROR(VLOOKUP(A283, '113_Faraway'!$A:$C, 3,FALSE),"非偏遠")</f>
        <v>非偏遠</v>
      </c>
      <c r="F283" s="33">
        <f>VLOOKUP(A283, '111_Raw'!$B:$D,3,FALSE)</f>
        <v>1111</v>
      </c>
      <c r="G283" s="33">
        <f>VLOOKUP(A283, '113_Raw'!$B:$D,3,FALSE)</f>
        <v>1112</v>
      </c>
      <c r="H283" s="35">
        <f t="shared" si="13"/>
        <v>1E-3</v>
      </c>
      <c r="I283" s="38" t="str">
        <f t="shared" si="12"/>
        <v>穩定或成長</v>
      </c>
      <c r="J283" s="32" t="b">
        <f t="shared" si="14"/>
        <v>0</v>
      </c>
    </row>
    <row r="284" spans="1:10">
      <c r="A284" s="36">
        <v>211320</v>
      </c>
      <c r="B284" s="37" t="s">
        <v>29</v>
      </c>
      <c r="C284" s="37" t="s">
        <v>325</v>
      </c>
      <c r="D284" s="38" t="str">
        <f>VLOOKUP(B284, Mapping!$A:$B, 2, FALSE)</f>
        <v>南部</v>
      </c>
      <c r="E284" s="38" t="str">
        <f>IFERROR(VLOOKUP(A284, '113_Faraway'!$A:$C, 3,FALSE),"非偏遠")</f>
        <v>非偏遠</v>
      </c>
      <c r="F284" s="33">
        <f>VLOOKUP(A284, '111_Raw'!$B:$D,3,FALSE)</f>
        <v>572</v>
      </c>
      <c r="G284" s="33">
        <f>VLOOKUP(A284, '113_Raw'!$B:$D,3,FALSE)</f>
        <v>615</v>
      </c>
      <c r="H284" s="35">
        <f t="shared" si="13"/>
        <v>7.4999999999999997E-2</v>
      </c>
      <c r="I284" s="38" t="str">
        <f t="shared" si="12"/>
        <v>穩定或成長</v>
      </c>
      <c r="J284" s="32" t="b">
        <f t="shared" si="14"/>
        <v>0</v>
      </c>
    </row>
    <row r="285" spans="1:10">
      <c r="A285" s="36">
        <v>213303</v>
      </c>
      <c r="B285" s="37" t="s">
        <v>29</v>
      </c>
      <c r="C285" s="37" t="s">
        <v>326</v>
      </c>
      <c r="D285" s="38" t="str">
        <f>VLOOKUP(B285, Mapping!$A:$B, 2, FALSE)</f>
        <v>南部</v>
      </c>
      <c r="E285" s="38" t="str">
        <f>IFERROR(VLOOKUP(A285, '113_Faraway'!$A:$C, 3,FALSE),"非偏遠")</f>
        <v>非偏遠</v>
      </c>
      <c r="F285" s="33">
        <f>VLOOKUP(A285, '111_Raw'!$B:$D,3,FALSE)</f>
        <v>329</v>
      </c>
      <c r="G285" s="33">
        <f>VLOOKUP(A285, '113_Raw'!$B:$D,3,FALSE)</f>
        <v>336</v>
      </c>
      <c r="H285" s="35">
        <f t="shared" si="13"/>
        <v>2.1000000000000001E-2</v>
      </c>
      <c r="I285" s="38" t="str">
        <f t="shared" si="12"/>
        <v>穩定或成長</v>
      </c>
      <c r="J285" s="32" t="b">
        <f t="shared" si="14"/>
        <v>0</v>
      </c>
    </row>
    <row r="286" spans="1:10">
      <c r="A286" s="36">
        <v>213316</v>
      </c>
      <c r="B286" s="37" t="s">
        <v>29</v>
      </c>
      <c r="C286" s="37" t="s">
        <v>327</v>
      </c>
      <c r="D286" s="38" t="str">
        <f>VLOOKUP(B286, Mapping!$A:$B, 2, FALSE)</f>
        <v>南部</v>
      </c>
      <c r="E286" s="38" t="str">
        <f>IFERROR(VLOOKUP(A286, '113_Faraway'!$A:$C, 3,FALSE),"非偏遠")</f>
        <v>非偏遠</v>
      </c>
      <c r="F286" s="33">
        <f>VLOOKUP(A286, '111_Raw'!$B:$D,3,FALSE)</f>
        <v>241</v>
      </c>
      <c r="G286" s="33">
        <f>VLOOKUP(A286, '113_Raw'!$B:$D,3,FALSE)</f>
        <v>241</v>
      </c>
      <c r="H286" s="35">
        <f t="shared" si="13"/>
        <v>0</v>
      </c>
      <c r="I286" s="38" t="str">
        <f t="shared" si="12"/>
        <v>穩定或成長</v>
      </c>
      <c r="J286" s="32" t="b">
        <f t="shared" si="14"/>
        <v>0</v>
      </c>
    </row>
    <row r="287" spans="1:10">
      <c r="A287" s="36">
        <v>313301</v>
      </c>
      <c r="B287" s="37" t="s">
        <v>17</v>
      </c>
      <c r="C287" s="37" t="s">
        <v>328</v>
      </c>
      <c r="D287" s="38" t="str">
        <f>VLOOKUP(B287, Mapping!$A:$B, 2, FALSE)</f>
        <v>北部</v>
      </c>
      <c r="E287" s="38" t="str">
        <f>IFERROR(VLOOKUP(A287, '113_Faraway'!$A:$C, 3,FALSE),"非偏遠")</f>
        <v>非偏遠</v>
      </c>
      <c r="F287" s="33">
        <f>VLOOKUP(A287, '111_Raw'!$B:$D,3,FALSE)</f>
        <v>1053</v>
      </c>
      <c r="G287" s="33">
        <f>VLOOKUP(A287, '113_Raw'!$B:$D,3,FALSE)</f>
        <v>1079</v>
      </c>
      <c r="H287" s="35">
        <f t="shared" si="13"/>
        <v>2.5000000000000001E-2</v>
      </c>
      <c r="I287" s="38" t="str">
        <f t="shared" si="12"/>
        <v>穩定或成長</v>
      </c>
      <c r="J287" s="32" t="b">
        <f t="shared" si="14"/>
        <v>0</v>
      </c>
    </row>
    <row r="288" spans="1:10">
      <c r="A288" s="36">
        <v>313302</v>
      </c>
      <c r="B288" s="37" t="s">
        <v>17</v>
      </c>
      <c r="C288" s="37" t="s">
        <v>329</v>
      </c>
      <c r="D288" s="38" t="str">
        <f>VLOOKUP(B288, Mapping!$A:$B, 2, FALSE)</f>
        <v>北部</v>
      </c>
      <c r="E288" s="38" t="str">
        <f>IFERROR(VLOOKUP(A288, '113_Faraway'!$A:$C, 3,FALSE),"非偏遠")</f>
        <v>非偏遠</v>
      </c>
      <c r="F288" s="33">
        <f>VLOOKUP(A288, '111_Raw'!$B:$D,3,FALSE)</f>
        <v>1069</v>
      </c>
      <c r="G288" s="33">
        <f>VLOOKUP(A288, '113_Raw'!$B:$D,3,FALSE)</f>
        <v>1053</v>
      </c>
      <c r="H288" s="35">
        <f t="shared" si="13"/>
        <v>-1.4999999999999999E-2</v>
      </c>
      <c r="I288" s="38" t="str">
        <f t="shared" si="12"/>
        <v>小幅下降</v>
      </c>
      <c r="J288" s="32" t="b">
        <f t="shared" si="14"/>
        <v>0</v>
      </c>
    </row>
    <row r="289" spans="1:10">
      <c r="A289" s="36">
        <v>321399</v>
      </c>
      <c r="B289" s="37" t="s">
        <v>17</v>
      </c>
      <c r="C289" s="37" t="s">
        <v>616</v>
      </c>
      <c r="D289" s="38" t="str">
        <f>VLOOKUP(B289, Mapping!$A:$B, 2, FALSE)</f>
        <v>北部</v>
      </c>
      <c r="E289" s="38" t="str">
        <f>IFERROR(VLOOKUP(A289, '113_Faraway'!$A:$C, 3,FALSE),"非偏遠")</f>
        <v>非偏遠</v>
      </c>
      <c r="F289" s="33">
        <f>VLOOKUP(A289, '111_Raw'!$B:$D,3,FALSE)</f>
        <v>199</v>
      </c>
      <c r="G289" s="33">
        <f>VLOOKUP(A289, '113_Raw'!$B:$D,3,FALSE)</f>
        <v>212</v>
      </c>
      <c r="H289" s="35">
        <f t="shared" si="13"/>
        <v>6.5000000000000002E-2</v>
      </c>
      <c r="I289" s="38" t="str">
        <f t="shared" si="12"/>
        <v>穩定或成長</v>
      </c>
      <c r="J289" s="32" t="b">
        <f t="shared" si="14"/>
        <v>0</v>
      </c>
    </row>
    <row r="290" spans="1:10">
      <c r="A290" s="36">
        <v>323301</v>
      </c>
      <c r="B290" s="37" t="s">
        <v>17</v>
      </c>
      <c r="C290" s="37" t="s">
        <v>331</v>
      </c>
      <c r="D290" s="38" t="str">
        <f>VLOOKUP(B290, Mapping!$A:$B, 2, FALSE)</f>
        <v>北部</v>
      </c>
      <c r="E290" s="38" t="str">
        <f>IFERROR(VLOOKUP(A290, '113_Faraway'!$A:$C, 3,FALSE),"非偏遠")</f>
        <v>非偏遠</v>
      </c>
      <c r="F290" s="33">
        <f>VLOOKUP(A290, '111_Raw'!$B:$D,3,FALSE)</f>
        <v>2140</v>
      </c>
      <c r="G290" s="33">
        <f>VLOOKUP(A290, '113_Raw'!$B:$D,3,FALSE)</f>
        <v>2146</v>
      </c>
      <c r="H290" s="35">
        <f t="shared" si="13"/>
        <v>3.0000000000000001E-3</v>
      </c>
      <c r="I290" s="38" t="str">
        <f t="shared" si="12"/>
        <v>穩定或成長</v>
      </c>
      <c r="J290" s="32" t="b">
        <f t="shared" si="14"/>
        <v>0</v>
      </c>
    </row>
    <row r="291" spans="1:10">
      <c r="A291" s="36">
        <v>323302</v>
      </c>
      <c r="B291" s="37" t="s">
        <v>17</v>
      </c>
      <c r="C291" s="37" t="s">
        <v>332</v>
      </c>
      <c r="D291" s="38" t="str">
        <f>VLOOKUP(B291, Mapping!$A:$B, 2, FALSE)</f>
        <v>北部</v>
      </c>
      <c r="E291" s="38" t="str">
        <f>IFERROR(VLOOKUP(A291, '113_Faraway'!$A:$C, 3,FALSE),"非偏遠")</f>
        <v>非偏遠</v>
      </c>
      <c r="F291" s="33">
        <f>VLOOKUP(A291, '111_Raw'!$B:$D,3,FALSE)</f>
        <v>1571</v>
      </c>
      <c r="G291" s="33">
        <f>VLOOKUP(A291, '113_Raw'!$B:$D,3,FALSE)</f>
        <v>1562</v>
      </c>
      <c r="H291" s="35">
        <f t="shared" si="13"/>
        <v>-6.0000000000000001E-3</v>
      </c>
      <c r="I291" s="38" t="str">
        <f t="shared" si="12"/>
        <v>小幅下降</v>
      </c>
      <c r="J291" s="32" t="b">
        <f t="shared" si="14"/>
        <v>0</v>
      </c>
    </row>
    <row r="292" spans="1:10">
      <c r="A292" s="36">
        <v>330301</v>
      </c>
      <c r="B292" s="37" t="s">
        <v>17</v>
      </c>
      <c r="C292" s="37" t="s">
        <v>333</v>
      </c>
      <c r="D292" s="38" t="str">
        <f>VLOOKUP(B292, Mapping!$A:$B, 2, FALSE)</f>
        <v>北部</v>
      </c>
      <c r="E292" s="38" t="str">
        <f>IFERROR(VLOOKUP(A292, '113_Faraway'!$A:$C, 3,FALSE),"非偏遠")</f>
        <v>非偏遠</v>
      </c>
      <c r="F292" s="33">
        <f>VLOOKUP(A292, '111_Raw'!$B:$D,3,FALSE)</f>
        <v>2752</v>
      </c>
      <c r="G292" s="33">
        <f>VLOOKUP(A292, '113_Raw'!$B:$D,3,FALSE)</f>
        <v>2548</v>
      </c>
      <c r="H292" s="35">
        <f t="shared" si="13"/>
        <v>-7.3999999999999996E-2</v>
      </c>
      <c r="I292" s="38" t="str">
        <f t="shared" si="12"/>
        <v>明顯下降</v>
      </c>
      <c r="J292" s="32" t="b">
        <f t="shared" si="14"/>
        <v>1</v>
      </c>
    </row>
    <row r="293" spans="1:10">
      <c r="A293" s="36">
        <v>331301</v>
      </c>
      <c r="B293" s="37" t="s">
        <v>17</v>
      </c>
      <c r="C293" s="37" t="s">
        <v>334</v>
      </c>
      <c r="D293" s="38" t="str">
        <f>VLOOKUP(B293, Mapping!$A:$B, 2, FALSE)</f>
        <v>北部</v>
      </c>
      <c r="E293" s="38" t="str">
        <f>IFERROR(VLOOKUP(A293, '113_Faraway'!$A:$C, 3,FALSE),"非偏遠")</f>
        <v>非偏遠</v>
      </c>
      <c r="F293" s="33">
        <f>VLOOKUP(A293, '111_Raw'!$B:$D,3,FALSE)</f>
        <v>1116</v>
      </c>
      <c r="G293" s="33">
        <f>VLOOKUP(A293, '113_Raw'!$B:$D,3,FALSE)</f>
        <v>1144</v>
      </c>
      <c r="H293" s="35">
        <f t="shared" si="13"/>
        <v>2.5000000000000001E-2</v>
      </c>
      <c r="I293" s="38" t="str">
        <f t="shared" si="12"/>
        <v>穩定或成長</v>
      </c>
      <c r="J293" s="32" t="b">
        <f t="shared" si="14"/>
        <v>0</v>
      </c>
    </row>
    <row r="294" spans="1:10">
      <c r="A294" s="36">
        <v>331302</v>
      </c>
      <c r="B294" s="37" t="s">
        <v>17</v>
      </c>
      <c r="C294" s="37" t="s">
        <v>335</v>
      </c>
      <c r="D294" s="38" t="str">
        <f>VLOOKUP(B294, Mapping!$A:$B, 2, FALSE)</f>
        <v>北部</v>
      </c>
      <c r="E294" s="38" t="str">
        <f>IFERROR(VLOOKUP(A294, '113_Faraway'!$A:$C, 3,FALSE),"非偏遠")</f>
        <v>非偏遠</v>
      </c>
      <c r="F294" s="33">
        <f>VLOOKUP(A294, '111_Raw'!$B:$D,3,FALSE)</f>
        <v>968</v>
      </c>
      <c r="G294" s="33">
        <f>VLOOKUP(A294, '113_Raw'!$B:$D,3,FALSE)</f>
        <v>1084</v>
      </c>
      <c r="H294" s="35">
        <f t="shared" si="13"/>
        <v>0.12</v>
      </c>
      <c r="I294" s="38" t="str">
        <f t="shared" si="12"/>
        <v>穩定或成長</v>
      </c>
      <c r="J294" s="32" t="b">
        <f t="shared" si="14"/>
        <v>0</v>
      </c>
    </row>
    <row r="295" spans="1:10">
      <c r="A295" s="36">
        <v>331304</v>
      </c>
      <c r="B295" s="37" t="s">
        <v>17</v>
      </c>
      <c r="C295" s="37" t="s">
        <v>336</v>
      </c>
      <c r="D295" s="38" t="str">
        <f>VLOOKUP(B295, Mapping!$A:$B, 2, FALSE)</f>
        <v>北部</v>
      </c>
      <c r="E295" s="38" t="str">
        <f>IFERROR(VLOOKUP(A295, '113_Faraway'!$A:$C, 3,FALSE),"非偏遠")</f>
        <v>非偏遠</v>
      </c>
      <c r="F295" s="33">
        <f>VLOOKUP(A295, '111_Raw'!$B:$D,3,FALSE)</f>
        <v>511</v>
      </c>
      <c r="G295" s="33">
        <f>VLOOKUP(A295, '113_Raw'!$B:$D,3,FALSE)</f>
        <v>539</v>
      </c>
      <c r="H295" s="35">
        <f t="shared" si="13"/>
        <v>5.5E-2</v>
      </c>
      <c r="I295" s="38" t="str">
        <f t="shared" si="12"/>
        <v>穩定或成長</v>
      </c>
      <c r="J295" s="32" t="b">
        <f t="shared" si="14"/>
        <v>0</v>
      </c>
    </row>
    <row r="296" spans="1:10">
      <c r="A296" s="36">
        <v>333301</v>
      </c>
      <c r="B296" s="37" t="s">
        <v>17</v>
      </c>
      <c r="C296" s="37" t="s">
        <v>337</v>
      </c>
      <c r="D296" s="38" t="str">
        <f>VLOOKUP(B296, Mapping!$A:$B, 2, FALSE)</f>
        <v>北部</v>
      </c>
      <c r="E296" s="38" t="str">
        <f>IFERROR(VLOOKUP(A296, '113_Faraway'!$A:$C, 3,FALSE),"非偏遠")</f>
        <v>非偏遠</v>
      </c>
      <c r="F296" s="33">
        <f>VLOOKUP(A296, '111_Raw'!$B:$D,3,FALSE)</f>
        <v>1317</v>
      </c>
      <c r="G296" s="33">
        <f>VLOOKUP(A296, '113_Raw'!$B:$D,3,FALSE)</f>
        <v>1323</v>
      </c>
      <c r="H296" s="35">
        <f t="shared" si="13"/>
        <v>5.0000000000000001E-3</v>
      </c>
      <c r="I296" s="38" t="str">
        <f t="shared" si="12"/>
        <v>穩定或成長</v>
      </c>
      <c r="J296" s="32" t="b">
        <f t="shared" si="14"/>
        <v>0</v>
      </c>
    </row>
    <row r="297" spans="1:10">
      <c r="A297" s="36">
        <v>333304</v>
      </c>
      <c r="B297" s="37" t="s">
        <v>17</v>
      </c>
      <c r="C297" s="37" t="s">
        <v>338</v>
      </c>
      <c r="D297" s="38" t="str">
        <f>VLOOKUP(B297, Mapping!$A:$B, 2, FALSE)</f>
        <v>北部</v>
      </c>
      <c r="E297" s="38" t="str">
        <f>IFERROR(VLOOKUP(A297, '113_Faraway'!$A:$C, 3,FALSE),"非偏遠")</f>
        <v>非偏遠</v>
      </c>
      <c r="F297" s="33">
        <f>VLOOKUP(A297, '111_Raw'!$B:$D,3,FALSE)</f>
        <v>83</v>
      </c>
      <c r="G297" s="33">
        <f>VLOOKUP(A297, '113_Raw'!$B:$D,3,FALSE)</f>
        <v>88</v>
      </c>
      <c r="H297" s="35">
        <f t="shared" si="13"/>
        <v>0.06</v>
      </c>
      <c r="I297" s="38" t="str">
        <f t="shared" si="12"/>
        <v>穩定或成長</v>
      </c>
      <c r="J297" s="32" t="b">
        <f t="shared" si="14"/>
        <v>0</v>
      </c>
    </row>
    <row r="298" spans="1:10">
      <c r="A298" s="36">
        <v>341302</v>
      </c>
      <c r="B298" s="37" t="s">
        <v>17</v>
      </c>
      <c r="C298" s="37" t="s">
        <v>339</v>
      </c>
      <c r="D298" s="38" t="str">
        <f>VLOOKUP(B298, Mapping!$A:$B, 2, FALSE)</f>
        <v>北部</v>
      </c>
      <c r="E298" s="38" t="str">
        <f>IFERROR(VLOOKUP(A298, '113_Faraway'!$A:$C, 3,FALSE),"非偏遠")</f>
        <v>非偏遠</v>
      </c>
      <c r="F298" s="33">
        <f>VLOOKUP(A298, '111_Raw'!$B:$D,3,FALSE)</f>
        <v>751</v>
      </c>
      <c r="G298" s="33">
        <f>VLOOKUP(A298, '113_Raw'!$B:$D,3,FALSE)</f>
        <v>920</v>
      </c>
      <c r="H298" s="35">
        <f t="shared" si="13"/>
        <v>0.22500000000000001</v>
      </c>
      <c r="I298" s="38" t="str">
        <f t="shared" si="12"/>
        <v>穩定或成長</v>
      </c>
      <c r="J298" s="32" t="b">
        <f t="shared" si="14"/>
        <v>0</v>
      </c>
    </row>
    <row r="299" spans="1:10">
      <c r="A299" s="36">
        <v>343301</v>
      </c>
      <c r="B299" s="37" t="s">
        <v>17</v>
      </c>
      <c r="C299" s="37" t="s">
        <v>340</v>
      </c>
      <c r="D299" s="38" t="str">
        <f>VLOOKUP(B299, Mapping!$A:$B, 2, FALSE)</f>
        <v>北部</v>
      </c>
      <c r="E299" s="38" t="str">
        <f>IFERROR(VLOOKUP(A299, '113_Faraway'!$A:$C, 3,FALSE),"非偏遠")</f>
        <v>非偏遠</v>
      </c>
      <c r="F299" s="33">
        <f>VLOOKUP(A299, '111_Raw'!$B:$D,3,FALSE)</f>
        <v>2237</v>
      </c>
      <c r="G299" s="33">
        <f>VLOOKUP(A299, '113_Raw'!$B:$D,3,FALSE)</f>
        <v>2189</v>
      </c>
      <c r="H299" s="35">
        <f t="shared" si="13"/>
        <v>-2.1000000000000001E-2</v>
      </c>
      <c r="I299" s="38" t="str">
        <f t="shared" si="12"/>
        <v>小幅下降</v>
      </c>
      <c r="J299" s="32" t="b">
        <f t="shared" si="14"/>
        <v>1</v>
      </c>
    </row>
    <row r="300" spans="1:10">
      <c r="A300" s="36">
        <v>343302</v>
      </c>
      <c r="B300" s="37" t="s">
        <v>17</v>
      </c>
      <c r="C300" s="37" t="s">
        <v>341</v>
      </c>
      <c r="D300" s="38" t="str">
        <f>VLOOKUP(B300, Mapping!$A:$B, 2, FALSE)</f>
        <v>北部</v>
      </c>
      <c r="E300" s="38" t="str">
        <f>IFERROR(VLOOKUP(A300, '113_Faraway'!$A:$C, 3,FALSE),"非偏遠")</f>
        <v>非偏遠</v>
      </c>
      <c r="F300" s="33">
        <f>VLOOKUP(A300, '111_Raw'!$B:$D,3,FALSE)</f>
        <v>1688</v>
      </c>
      <c r="G300" s="33">
        <f>VLOOKUP(A300, '113_Raw'!$B:$D,3,FALSE)</f>
        <v>1661</v>
      </c>
      <c r="H300" s="35">
        <f t="shared" si="13"/>
        <v>-1.6E-2</v>
      </c>
      <c r="I300" s="38" t="str">
        <f t="shared" si="12"/>
        <v>小幅下降</v>
      </c>
      <c r="J300" s="32" t="b">
        <f t="shared" si="14"/>
        <v>1</v>
      </c>
    </row>
    <row r="301" spans="1:10">
      <c r="A301" s="36">
        <v>343303</v>
      </c>
      <c r="B301" s="37" t="s">
        <v>17</v>
      </c>
      <c r="C301" s="37" t="s">
        <v>342</v>
      </c>
      <c r="D301" s="38" t="str">
        <f>VLOOKUP(B301, Mapping!$A:$B, 2, FALSE)</f>
        <v>北部</v>
      </c>
      <c r="E301" s="38" t="str">
        <f>IFERROR(VLOOKUP(A301, '113_Faraway'!$A:$C, 3,FALSE),"非偏遠")</f>
        <v>非偏遠</v>
      </c>
      <c r="F301" s="33">
        <f>VLOOKUP(A301, '111_Raw'!$B:$D,3,FALSE)</f>
        <v>1060</v>
      </c>
      <c r="G301" s="33">
        <f>VLOOKUP(A301, '113_Raw'!$B:$D,3,FALSE)</f>
        <v>1051</v>
      </c>
      <c r="H301" s="35">
        <f t="shared" si="13"/>
        <v>-8.0000000000000002E-3</v>
      </c>
      <c r="I301" s="38" t="str">
        <f t="shared" si="12"/>
        <v>小幅下降</v>
      </c>
      <c r="J301" s="32" t="b">
        <f t="shared" si="14"/>
        <v>0</v>
      </c>
    </row>
    <row r="302" spans="1:10">
      <c r="A302" s="36">
        <v>351301</v>
      </c>
      <c r="B302" s="37" t="s">
        <v>17</v>
      </c>
      <c r="C302" s="37" t="s">
        <v>343</v>
      </c>
      <c r="D302" s="38" t="str">
        <f>VLOOKUP(B302, Mapping!$A:$B, 2, FALSE)</f>
        <v>北部</v>
      </c>
      <c r="E302" s="38" t="str">
        <f>IFERROR(VLOOKUP(A302, '113_Faraway'!$A:$C, 3,FALSE),"非偏遠")</f>
        <v>非偏遠</v>
      </c>
      <c r="F302" s="33">
        <f>VLOOKUP(A302, '111_Raw'!$B:$D,3,FALSE)</f>
        <v>498</v>
      </c>
      <c r="G302" s="33">
        <f>VLOOKUP(A302, '113_Raw'!$B:$D,3,FALSE)</f>
        <v>369</v>
      </c>
      <c r="H302" s="35">
        <f t="shared" si="13"/>
        <v>-0.25900000000000001</v>
      </c>
      <c r="I302" s="38" t="str">
        <f t="shared" si="12"/>
        <v>明顯下降</v>
      </c>
      <c r="J302" s="32" t="b">
        <f t="shared" si="14"/>
        <v>1</v>
      </c>
    </row>
    <row r="303" spans="1:10">
      <c r="A303" s="36">
        <v>353301</v>
      </c>
      <c r="B303" s="37" t="s">
        <v>17</v>
      </c>
      <c r="C303" s="37" t="s">
        <v>344</v>
      </c>
      <c r="D303" s="38" t="str">
        <f>VLOOKUP(B303, Mapping!$A:$B, 2, FALSE)</f>
        <v>北部</v>
      </c>
      <c r="E303" s="38" t="str">
        <f>IFERROR(VLOOKUP(A303, '113_Faraway'!$A:$C, 3,FALSE),"非偏遠")</f>
        <v>非偏遠</v>
      </c>
      <c r="F303" s="33">
        <f>VLOOKUP(A303, '111_Raw'!$B:$D,3,FALSE)</f>
        <v>2860</v>
      </c>
      <c r="G303" s="33">
        <f>VLOOKUP(A303, '113_Raw'!$B:$D,3,FALSE)</f>
        <v>2821</v>
      </c>
      <c r="H303" s="35">
        <f t="shared" si="13"/>
        <v>-1.4E-2</v>
      </c>
      <c r="I303" s="38" t="str">
        <f t="shared" si="12"/>
        <v>小幅下降</v>
      </c>
      <c r="J303" s="32" t="b">
        <f t="shared" si="14"/>
        <v>0</v>
      </c>
    </row>
    <row r="304" spans="1:10">
      <c r="A304" s="36">
        <v>353302</v>
      </c>
      <c r="B304" s="37" t="s">
        <v>17</v>
      </c>
      <c r="C304" s="37" t="s">
        <v>345</v>
      </c>
      <c r="D304" s="38" t="str">
        <f>VLOOKUP(B304, Mapping!$A:$B, 2, FALSE)</f>
        <v>北部</v>
      </c>
      <c r="E304" s="38" t="str">
        <f>IFERROR(VLOOKUP(A304, '113_Faraway'!$A:$C, 3,FALSE),"非偏遠")</f>
        <v>非偏遠</v>
      </c>
      <c r="F304" s="33">
        <f>VLOOKUP(A304, '111_Raw'!$B:$D,3,FALSE)</f>
        <v>2349</v>
      </c>
      <c r="G304" s="33">
        <f>VLOOKUP(A304, '113_Raw'!$B:$D,3,FALSE)</f>
        <v>2291</v>
      </c>
      <c r="H304" s="35">
        <f t="shared" si="13"/>
        <v>-2.5000000000000001E-2</v>
      </c>
      <c r="I304" s="38" t="str">
        <f t="shared" si="12"/>
        <v>小幅下降</v>
      </c>
      <c r="J304" s="32" t="b">
        <f t="shared" si="14"/>
        <v>1</v>
      </c>
    </row>
    <row r="305" spans="1:10">
      <c r="A305" s="36">
        <v>353303</v>
      </c>
      <c r="B305" s="37" t="s">
        <v>17</v>
      </c>
      <c r="C305" s="37" t="s">
        <v>346</v>
      </c>
      <c r="D305" s="38" t="str">
        <f>VLOOKUP(B305, Mapping!$A:$B, 2, FALSE)</f>
        <v>北部</v>
      </c>
      <c r="E305" s="38" t="str">
        <f>IFERROR(VLOOKUP(A305, '113_Faraway'!$A:$C, 3,FALSE),"非偏遠")</f>
        <v>非偏遠</v>
      </c>
      <c r="F305" s="33">
        <f>VLOOKUP(A305, '111_Raw'!$B:$D,3,FALSE)</f>
        <v>2424</v>
      </c>
      <c r="G305" s="33">
        <f>VLOOKUP(A305, '113_Raw'!$B:$D,3,FALSE)</f>
        <v>2393</v>
      </c>
      <c r="H305" s="35">
        <f t="shared" si="13"/>
        <v>-1.2999999999999999E-2</v>
      </c>
      <c r="I305" s="38" t="str">
        <f t="shared" si="12"/>
        <v>小幅下降</v>
      </c>
      <c r="J305" s="32" t="b">
        <f t="shared" si="14"/>
        <v>0</v>
      </c>
    </row>
    <row r="306" spans="1:10">
      <c r="A306" s="36">
        <v>361301</v>
      </c>
      <c r="B306" s="37" t="s">
        <v>17</v>
      </c>
      <c r="C306" s="37" t="s">
        <v>617</v>
      </c>
      <c r="D306" s="38" t="str">
        <f>VLOOKUP(B306, Mapping!$A:$B, 2, FALSE)</f>
        <v>北部</v>
      </c>
      <c r="E306" s="38" t="str">
        <f>IFERROR(VLOOKUP(A306, '113_Faraway'!$A:$C, 3,FALSE),"非偏遠")</f>
        <v>非偏遠</v>
      </c>
      <c r="F306" s="33">
        <f>VLOOKUP(A306, '111_Raw'!$B:$D,3,FALSE)</f>
        <v>905</v>
      </c>
      <c r="G306" s="33">
        <f>VLOOKUP(A306, '113_Raw'!$B:$D,3,FALSE)</f>
        <v>914</v>
      </c>
      <c r="H306" s="35">
        <f t="shared" si="13"/>
        <v>0.01</v>
      </c>
      <c r="I306" s="38" t="str">
        <f t="shared" si="12"/>
        <v>穩定或成長</v>
      </c>
      <c r="J306" s="32" t="b">
        <f t="shared" si="14"/>
        <v>0</v>
      </c>
    </row>
    <row r="307" spans="1:10">
      <c r="A307" s="36">
        <v>363301</v>
      </c>
      <c r="B307" s="37" t="s">
        <v>17</v>
      </c>
      <c r="C307" s="37" t="s">
        <v>348</v>
      </c>
      <c r="D307" s="38" t="str">
        <f>VLOOKUP(B307, Mapping!$A:$B, 2, FALSE)</f>
        <v>北部</v>
      </c>
      <c r="E307" s="38" t="str">
        <f>IFERROR(VLOOKUP(A307, '113_Faraway'!$A:$C, 3,FALSE),"非偏遠")</f>
        <v>非偏遠</v>
      </c>
      <c r="F307" s="33">
        <f>VLOOKUP(A307, '111_Raw'!$B:$D,3,FALSE)</f>
        <v>1598</v>
      </c>
      <c r="G307" s="33">
        <f>VLOOKUP(A307, '113_Raw'!$B:$D,3,FALSE)</f>
        <v>1594</v>
      </c>
      <c r="H307" s="35">
        <f t="shared" si="13"/>
        <v>-3.0000000000000001E-3</v>
      </c>
      <c r="I307" s="38" t="str">
        <f t="shared" si="12"/>
        <v>小幅下降</v>
      </c>
      <c r="J307" s="32" t="b">
        <f t="shared" si="14"/>
        <v>0</v>
      </c>
    </row>
    <row r="308" spans="1:10">
      <c r="A308" s="36">
        <v>363302</v>
      </c>
      <c r="B308" s="37" t="s">
        <v>17</v>
      </c>
      <c r="C308" s="37" t="s">
        <v>349</v>
      </c>
      <c r="D308" s="38" t="str">
        <f>VLOOKUP(B308, Mapping!$A:$B, 2, FALSE)</f>
        <v>北部</v>
      </c>
      <c r="E308" s="38" t="str">
        <f>IFERROR(VLOOKUP(A308, '113_Faraway'!$A:$C, 3,FALSE),"非偏遠")</f>
        <v>非偏遠</v>
      </c>
      <c r="F308" s="33">
        <f>VLOOKUP(A308, '111_Raw'!$B:$D,3,FALSE)</f>
        <v>1219</v>
      </c>
      <c r="G308" s="33">
        <f>VLOOKUP(A308, '113_Raw'!$B:$D,3,FALSE)</f>
        <v>1219</v>
      </c>
      <c r="H308" s="35">
        <f t="shared" si="13"/>
        <v>0</v>
      </c>
      <c r="I308" s="38" t="str">
        <f t="shared" si="12"/>
        <v>穩定或成長</v>
      </c>
      <c r="J308" s="32" t="b">
        <f t="shared" si="14"/>
        <v>0</v>
      </c>
    </row>
    <row r="309" spans="1:10">
      <c r="A309" s="36">
        <v>373301</v>
      </c>
      <c r="B309" s="37" t="s">
        <v>17</v>
      </c>
      <c r="C309" s="37" t="s">
        <v>350</v>
      </c>
      <c r="D309" s="38" t="str">
        <f>VLOOKUP(B309, Mapping!$A:$B, 2, FALSE)</f>
        <v>北部</v>
      </c>
      <c r="E309" s="38" t="str">
        <f>IFERROR(VLOOKUP(A309, '113_Faraway'!$A:$C, 3,FALSE),"非偏遠")</f>
        <v>非偏遠</v>
      </c>
      <c r="F309" s="33">
        <f>VLOOKUP(A309, '111_Raw'!$B:$D,3,FALSE)</f>
        <v>1683</v>
      </c>
      <c r="G309" s="33">
        <f>VLOOKUP(A309, '113_Raw'!$B:$D,3,FALSE)</f>
        <v>1645</v>
      </c>
      <c r="H309" s="35">
        <f t="shared" si="13"/>
        <v>-2.3E-2</v>
      </c>
      <c r="I309" s="38" t="str">
        <f t="shared" si="12"/>
        <v>小幅下降</v>
      </c>
      <c r="J309" s="32" t="b">
        <f t="shared" si="14"/>
        <v>1</v>
      </c>
    </row>
    <row r="310" spans="1:10">
      <c r="A310" s="36">
        <v>373302</v>
      </c>
      <c r="B310" s="37" t="s">
        <v>17</v>
      </c>
      <c r="C310" s="37" t="s">
        <v>351</v>
      </c>
      <c r="D310" s="38" t="str">
        <f>VLOOKUP(B310, Mapping!$A:$B, 2, FALSE)</f>
        <v>北部</v>
      </c>
      <c r="E310" s="38" t="str">
        <f>IFERROR(VLOOKUP(A310, '113_Faraway'!$A:$C, 3,FALSE),"非偏遠")</f>
        <v>非偏遠</v>
      </c>
      <c r="F310" s="33">
        <f>VLOOKUP(A310, '111_Raw'!$B:$D,3,FALSE)</f>
        <v>925</v>
      </c>
      <c r="G310" s="33">
        <f>VLOOKUP(A310, '113_Raw'!$B:$D,3,FALSE)</f>
        <v>910</v>
      </c>
      <c r="H310" s="35">
        <f t="shared" si="13"/>
        <v>-1.6E-2</v>
      </c>
      <c r="I310" s="38" t="str">
        <f t="shared" si="12"/>
        <v>小幅下降</v>
      </c>
      <c r="J310" s="32" t="b">
        <f t="shared" si="14"/>
        <v>1</v>
      </c>
    </row>
    <row r="311" spans="1:10">
      <c r="A311" s="36">
        <v>380301</v>
      </c>
      <c r="B311" s="37" t="s">
        <v>17</v>
      </c>
      <c r="C311" s="37" t="s">
        <v>352</v>
      </c>
      <c r="D311" s="38" t="str">
        <f>VLOOKUP(B311, Mapping!$A:$B, 2, FALSE)</f>
        <v>北部</v>
      </c>
      <c r="E311" s="38" t="str">
        <f>IFERROR(VLOOKUP(A311, '113_Faraway'!$A:$C, 3,FALSE),"非偏遠")</f>
        <v>非偏遠</v>
      </c>
      <c r="F311" s="33">
        <f>VLOOKUP(A311, '111_Raw'!$B:$D,3,FALSE)</f>
        <v>622</v>
      </c>
      <c r="G311" s="33">
        <f>VLOOKUP(A311, '113_Raw'!$B:$D,3,FALSE)</f>
        <v>620</v>
      </c>
      <c r="H311" s="35">
        <f t="shared" si="13"/>
        <v>-3.0000000000000001E-3</v>
      </c>
      <c r="I311" s="38" t="str">
        <f t="shared" si="12"/>
        <v>小幅下降</v>
      </c>
      <c r="J311" s="32" t="b">
        <f t="shared" si="14"/>
        <v>0</v>
      </c>
    </row>
    <row r="312" spans="1:10">
      <c r="A312" s="36">
        <v>381301</v>
      </c>
      <c r="B312" s="37" t="s">
        <v>17</v>
      </c>
      <c r="C312" s="37" t="s">
        <v>353</v>
      </c>
      <c r="D312" s="38" t="str">
        <f>VLOOKUP(B312, Mapping!$A:$B, 2, FALSE)</f>
        <v>北部</v>
      </c>
      <c r="E312" s="38" t="str">
        <f>IFERROR(VLOOKUP(A312, '113_Faraway'!$A:$C, 3,FALSE),"非偏遠")</f>
        <v>非偏遠</v>
      </c>
      <c r="F312" s="33">
        <f>VLOOKUP(A312, '111_Raw'!$B:$D,3,FALSE)</f>
        <v>1494</v>
      </c>
      <c r="G312" s="33">
        <f>VLOOKUP(A312, '113_Raw'!$B:$D,3,FALSE)</f>
        <v>1399</v>
      </c>
      <c r="H312" s="35">
        <f t="shared" si="13"/>
        <v>-6.4000000000000001E-2</v>
      </c>
      <c r="I312" s="38" t="str">
        <f t="shared" si="12"/>
        <v>明顯下降</v>
      </c>
      <c r="J312" s="32" t="b">
        <f t="shared" si="14"/>
        <v>1</v>
      </c>
    </row>
    <row r="313" spans="1:10">
      <c r="A313" s="36">
        <v>381302</v>
      </c>
      <c r="B313" s="37" t="s">
        <v>17</v>
      </c>
      <c r="C313" s="37" t="s">
        <v>354</v>
      </c>
      <c r="D313" s="38" t="str">
        <f>VLOOKUP(B313, Mapping!$A:$B, 2, FALSE)</f>
        <v>北部</v>
      </c>
      <c r="E313" s="38" t="str">
        <f>IFERROR(VLOOKUP(A313, '113_Faraway'!$A:$C, 3,FALSE),"非偏遠")</f>
        <v>非偏遠</v>
      </c>
      <c r="F313" s="33">
        <f>VLOOKUP(A313, '111_Raw'!$B:$D,3,FALSE)</f>
        <v>363</v>
      </c>
      <c r="G313" s="33">
        <f>VLOOKUP(A313, '113_Raw'!$B:$D,3,FALSE)</f>
        <v>232</v>
      </c>
      <c r="H313" s="35">
        <f t="shared" si="13"/>
        <v>-0.36099999999999999</v>
      </c>
      <c r="I313" s="38" t="str">
        <f t="shared" si="12"/>
        <v>明顯下降</v>
      </c>
      <c r="J313" s="32" t="b">
        <f t="shared" si="14"/>
        <v>1</v>
      </c>
    </row>
    <row r="314" spans="1:10">
      <c r="A314" s="36">
        <v>381303</v>
      </c>
      <c r="B314" s="37" t="s">
        <v>17</v>
      </c>
      <c r="C314" s="37" t="s">
        <v>355</v>
      </c>
      <c r="D314" s="38" t="str">
        <f>VLOOKUP(B314, Mapping!$A:$B, 2, FALSE)</f>
        <v>北部</v>
      </c>
      <c r="E314" s="38" t="str">
        <f>IFERROR(VLOOKUP(A314, '113_Faraway'!$A:$C, 3,FALSE),"非偏遠")</f>
        <v>非偏遠</v>
      </c>
      <c r="F314" s="33">
        <f>VLOOKUP(A314, '111_Raw'!$B:$D,3,FALSE)</f>
        <v>307</v>
      </c>
      <c r="G314" s="33">
        <f>VLOOKUP(A314, '113_Raw'!$B:$D,3,FALSE)</f>
        <v>192</v>
      </c>
      <c r="H314" s="35">
        <f t="shared" si="13"/>
        <v>-0.375</v>
      </c>
      <c r="I314" s="38" t="str">
        <f t="shared" si="12"/>
        <v>明顯下降</v>
      </c>
      <c r="J314" s="32" t="b">
        <f t="shared" si="14"/>
        <v>1</v>
      </c>
    </row>
    <row r="315" spans="1:10">
      <c r="A315" s="36">
        <v>381304</v>
      </c>
      <c r="B315" s="37" t="s">
        <v>17</v>
      </c>
      <c r="C315" s="37" t="s">
        <v>356</v>
      </c>
      <c r="D315" s="38" t="str">
        <f>VLOOKUP(B315, Mapping!$A:$B, 2, FALSE)</f>
        <v>北部</v>
      </c>
      <c r="E315" s="38" t="str">
        <f>IFERROR(VLOOKUP(A315, '113_Faraway'!$A:$C, 3,FALSE),"非偏遠")</f>
        <v>非偏遠</v>
      </c>
      <c r="F315" s="33">
        <f>VLOOKUP(A315, '111_Raw'!$B:$D,3,FALSE)</f>
        <v>794</v>
      </c>
      <c r="G315" s="33">
        <f>VLOOKUP(A315, '113_Raw'!$B:$D,3,FALSE)</f>
        <v>790</v>
      </c>
      <c r="H315" s="35">
        <f t="shared" si="13"/>
        <v>-5.0000000000000001E-3</v>
      </c>
      <c r="I315" s="38" t="str">
        <f t="shared" si="12"/>
        <v>小幅下降</v>
      </c>
      <c r="J315" s="32" t="b">
        <f t="shared" si="14"/>
        <v>0</v>
      </c>
    </row>
    <row r="316" spans="1:10">
      <c r="A316" s="36">
        <v>381305</v>
      </c>
      <c r="B316" s="37" t="s">
        <v>17</v>
      </c>
      <c r="C316" s="37" t="s">
        <v>357</v>
      </c>
      <c r="D316" s="38" t="str">
        <f>VLOOKUP(B316, Mapping!$A:$B, 2, FALSE)</f>
        <v>北部</v>
      </c>
      <c r="E316" s="38" t="str">
        <f>IFERROR(VLOOKUP(A316, '113_Faraway'!$A:$C, 3,FALSE),"非偏遠")</f>
        <v>非偏遠</v>
      </c>
      <c r="F316" s="33">
        <f>VLOOKUP(A316, '111_Raw'!$B:$D,3,FALSE)</f>
        <v>862</v>
      </c>
      <c r="G316" s="33">
        <f>VLOOKUP(A316, '113_Raw'!$B:$D,3,FALSE)</f>
        <v>782</v>
      </c>
      <c r="H316" s="35">
        <f t="shared" si="13"/>
        <v>-9.2999999999999999E-2</v>
      </c>
      <c r="I316" s="38" t="str">
        <f t="shared" si="12"/>
        <v>明顯下降</v>
      </c>
      <c r="J316" s="32" t="b">
        <f t="shared" si="14"/>
        <v>1</v>
      </c>
    </row>
    <row r="317" spans="1:10">
      <c r="A317" s="36">
        <v>381306</v>
      </c>
      <c r="B317" s="37" t="s">
        <v>17</v>
      </c>
      <c r="C317" s="37" t="s">
        <v>618</v>
      </c>
      <c r="D317" s="38" t="str">
        <f>VLOOKUP(B317, Mapping!$A:$B, 2, FALSE)</f>
        <v>北部</v>
      </c>
      <c r="E317" s="38" t="str">
        <f>IFERROR(VLOOKUP(A317, '113_Faraway'!$A:$C, 3,FALSE),"非偏遠")</f>
        <v>非偏遠</v>
      </c>
      <c r="F317" s="33">
        <f>VLOOKUP(A317, '111_Raw'!$B:$D,3,FALSE)</f>
        <v>231</v>
      </c>
      <c r="G317" s="33">
        <f>VLOOKUP(A317, '113_Raw'!$B:$D,3,FALSE)</f>
        <v>277</v>
      </c>
      <c r="H317" s="35">
        <f t="shared" si="13"/>
        <v>0.19900000000000001</v>
      </c>
      <c r="I317" s="38" t="str">
        <f t="shared" si="12"/>
        <v>穩定或成長</v>
      </c>
      <c r="J317" s="32" t="b">
        <f t="shared" si="14"/>
        <v>0</v>
      </c>
    </row>
    <row r="318" spans="1:10">
      <c r="A318" s="36">
        <v>383301</v>
      </c>
      <c r="B318" s="37" t="s">
        <v>17</v>
      </c>
      <c r="C318" s="37" t="s">
        <v>359</v>
      </c>
      <c r="D318" s="38" t="str">
        <f>VLOOKUP(B318, Mapping!$A:$B, 2, FALSE)</f>
        <v>北部</v>
      </c>
      <c r="E318" s="38" t="str">
        <f>IFERROR(VLOOKUP(A318, '113_Faraway'!$A:$C, 3,FALSE),"非偏遠")</f>
        <v>非偏遠</v>
      </c>
      <c r="F318" s="33">
        <f>VLOOKUP(A318, '111_Raw'!$B:$D,3,FALSE)</f>
        <v>1893</v>
      </c>
      <c r="G318" s="33">
        <f>VLOOKUP(A318, '113_Raw'!$B:$D,3,FALSE)</f>
        <v>1861</v>
      </c>
      <c r="H318" s="35">
        <f t="shared" si="13"/>
        <v>-1.7000000000000001E-2</v>
      </c>
      <c r="I318" s="38" t="str">
        <f t="shared" ref="I318:I381" si="15">IF(H318&gt;=0,"穩定或成長",IF(H318&gt;-0.05,"小幅下降","明顯下降"))</f>
        <v>小幅下降</v>
      </c>
      <c r="J318" s="32" t="b">
        <f t="shared" si="14"/>
        <v>1</v>
      </c>
    </row>
    <row r="319" spans="1:10">
      <c r="A319" s="36">
        <v>383302</v>
      </c>
      <c r="B319" s="37" t="s">
        <v>17</v>
      </c>
      <c r="C319" s="37" t="s">
        <v>360</v>
      </c>
      <c r="D319" s="38" t="str">
        <f>VLOOKUP(B319, Mapping!$A:$B, 2, FALSE)</f>
        <v>北部</v>
      </c>
      <c r="E319" s="38" t="str">
        <f>IFERROR(VLOOKUP(A319, '113_Faraway'!$A:$C, 3,FALSE),"非偏遠")</f>
        <v>非偏遠</v>
      </c>
      <c r="F319" s="33">
        <f>VLOOKUP(A319, '111_Raw'!$B:$D,3,FALSE)</f>
        <v>1155</v>
      </c>
      <c r="G319" s="33">
        <f>VLOOKUP(A319, '113_Raw'!$B:$D,3,FALSE)</f>
        <v>1130</v>
      </c>
      <c r="H319" s="35">
        <f t="shared" si="13"/>
        <v>-2.1999999999999999E-2</v>
      </c>
      <c r="I319" s="38" t="str">
        <f t="shared" si="15"/>
        <v>小幅下降</v>
      </c>
      <c r="J319" s="32" t="b">
        <f t="shared" si="14"/>
        <v>1</v>
      </c>
    </row>
    <row r="320" spans="1:10">
      <c r="A320" s="36">
        <v>383303</v>
      </c>
      <c r="B320" s="37" t="s">
        <v>17</v>
      </c>
      <c r="C320" s="37" t="s">
        <v>361</v>
      </c>
      <c r="D320" s="38" t="str">
        <f>VLOOKUP(B320, Mapping!$A:$B, 2, FALSE)</f>
        <v>北部</v>
      </c>
      <c r="E320" s="38" t="str">
        <f>IFERROR(VLOOKUP(A320, '113_Faraway'!$A:$C, 3,FALSE),"非偏遠")</f>
        <v>非偏遠</v>
      </c>
      <c r="F320" s="33">
        <f>VLOOKUP(A320, '111_Raw'!$B:$D,3,FALSE)</f>
        <v>41</v>
      </c>
      <c r="G320" s="33">
        <f>VLOOKUP(A320, '113_Raw'!$B:$D,3,FALSE)</f>
        <v>121</v>
      </c>
      <c r="H320" s="35">
        <f t="shared" si="13"/>
        <v>1.9510000000000001</v>
      </c>
      <c r="I320" s="38" t="str">
        <f t="shared" si="15"/>
        <v>穩定或成長</v>
      </c>
      <c r="J320" s="32" t="b">
        <f t="shared" si="14"/>
        <v>0</v>
      </c>
    </row>
    <row r="321" spans="1:10">
      <c r="A321" s="36">
        <v>393301</v>
      </c>
      <c r="B321" s="37" t="s">
        <v>17</v>
      </c>
      <c r="C321" s="37" t="s">
        <v>362</v>
      </c>
      <c r="D321" s="38" t="str">
        <f>VLOOKUP(B321, Mapping!$A:$B, 2, FALSE)</f>
        <v>北部</v>
      </c>
      <c r="E321" s="38" t="str">
        <f>IFERROR(VLOOKUP(A321, '113_Faraway'!$A:$C, 3,FALSE),"非偏遠")</f>
        <v>非偏遠</v>
      </c>
      <c r="F321" s="33">
        <f>VLOOKUP(A321, '111_Raw'!$B:$D,3,FALSE)</f>
        <v>1013</v>
      </c>
      <c r="G321" s="33">
        <f>VLOOKUP(A321, '113_Raw'!$B:$D,3,FALSE)</f>
        <v>1015</v>
      </c>
      <c r="H321" s="35">
        <f t="shared" si="13"/>
        <v>2E-3</v>
      </c>
      <c r="I321" s="38" t="str">
        <f t="shared" si="15"/>
        <v>穩定或成長</v>
      </c>
      <c r="J321" s="32" t="b">
        <f t="shared" si="14"/>
        <v>0</v>
      </c>
    </row>
    <row r="322" spans="1:10">
      <c r="A322" s="36">
        <v>393302</v>
      </c>
      <c r="B322" s="37" t="s">
        <v>17</v>
      </c>
      <c r="C322" s="37" t="s">
        <v>363</v>
      </c>
      <c r="D322" s="38" t="str">
        <f>VLOOKUP(B322, Mapping!$A:$B, 2, FALSE)</f>
        <v>北部</v>
      </c>
      <c r="E322" s="38" t="str">
        <f>IFERROR(VLOOKUP(A322, '113_Faraway'!$A:$C, 3,FALSE),"非偏遠")</f>
        <v>非偏遠</v>
      </c>
      <c r="F322" s="33">
        <f>VLOOKUP(A322, '111_Raw'!$B:$D,3,FALSE)</f>
        <v>1791</v>
      </c>
      <c r="G322" s="33">
        <f>VLOOKUP(A322, '113_Raw'!$B:$D,3,FALSE)</f>
        <v>1780</v>
      </c>
      <c r="H322" s="35">
        <f t="shared" si="13"/>
        <v>-6.0000000000000001E-3</v>
      </c>
      <c r="I322" s="38" t="str">
        <f t="shared" si="15"/>
        <v>小幅下降</v>
      </c>
      <c r="J322" s="32" t="b">
        <f t="shared" si="14"/>
        <v>0</v>
      </c>
    </row>
    <row r="323" spans="1:10">
      <c r="A323" s="36">
        <v>401301</v>
      </c>
      <c r="B323" s="37" t="s">
        <v>17</v>
      </c>
      <c r="C323" s="37" t="s">
        <v>364</v>
      </c>
      <c r="D323" s="38" t="str">
        <f>VLOOKUP(B323, Mapping!$A:$B, 2, FALSE)</f>
        <v>北部</v>
      </c>
      <c r="E323" s="38" t="str">
        <f>IFERROR(VLOOKUP(A323, '113_Faraway'!$A:$C, 3,FALSE),"非偏遠")</f>
        <v>非偏遠</v>
      </c>
      <c r="F323" s="33">
        <f>VLOOKUP(A323, '111_Raw'!$B:$D,3,FALSE)</f>
        <v>69</v>
      </c>
      <c r="G323" s="33">
        <f>VLOOKUP(A323, '113_Raw'!$B:$D,3,FALSE)</f>
        <v>14</v>
      </c>
      <c r="H323" s="35">
        <f t="shared" ref="H323:H386" si="16">ROUND((G323-F323)/F323,3)</f>
        <v>-0.79700000000000004</v>
      </c>
      <c r="I323" s="38" t="str">
        <f t="shared" si="15"/>
        <v>明顯下降</v>
      </c>
      <c r="J323" s="32" t="b">
        <f t="shared" ref="J323:J386" si="17">IF(H323 &lt; $K$2, TRUE, FALSE)</f>
        <v>1</v>
      </c>
    </row>
    <row r="324" spans="1:10">
      <c r="A324" s="36">
        <v>401302</v>
      </c>
      <c r="B324" s="37" t="s">
        <v>17</v>
      </c>
      <c r="C324" s="37" t="s">
        <v>365</v>
      </c>
      <c r="D324" s="38" t="str">
        <f>VLOOKUP(B324, Mapping!$A:$B, 2, FALSE)</f>
        <v>北部</v>
      </c>
      <c r="E324" s="38" t="str">
        <f>IFERROR(VLOOKUP(A324, '113_Faraway'!$A:$C, 3,FALSE),"非偏遠")</f>
        <v>非偏遠</v>
      </c>
      <c r="F324" s="33">
        <f>VLOOKUP(A324, '111_Raw'!$B:$D,3,FALSE)</f>
        <v>154</v>
      </c>
      <c r="G324" s="33">
        <f>VLOOKUP(A324, '113_Raw'!$B:$D,3,FALSE)</f>
        <v>0</v>
      </c>
      <c r="H324" s="35">
        <f t="shared" si="16"/>
        <v>-1</v>
      </c>
      <c r="I324" s="38" t="str">
        <f t="shared" si="15"/>
        <v>明顯下降</v>
      </c>
      <c r="J324" s="32" t="b">
        <f t="shared" si="17"/>
        <v>1</v>
      </c>
    </row>
    <row r="325" spans="1:10">
      <c r="A325" s="36">
        <v>401303</v>
      </c>
      <c r="B325" s="37" t="s">
        <v>17</v>
      </c>
      <c r="C325" s="37" t="s">
        <v>619</v>
      </c>
      <c r="D325" s="38" t="str">
        <f>VLOOKUP(B325, Mapping!$A:$B, 2, FALSE)</f>
        <v>北部</v>
      </c>
      <c r="E325" s="38" t="str">
        <f>IFERROR(VLOOKUP(A325, '113_Faraway'!$A:$C, 3,FALSE),"非偏遠")</f>
        <v>非偏遠</v>
      </c>
      <c r="F325" s="33">
        <f>VLOOKUP(A325, '111_Raw'!$B:$D,3,FALSE)</f>
        <v>379</v>
      </c>
      <c r="G325" s="33">
        <f>VLOOKUP(A325, '113_Raw'!$B:$D,3,FALSE)</f>
        <v>330</v>
      </c>
      <c r="H325" s="35">
        <f t="shared" si="16"/>
        <v>-0.129</v>
      </c>
      <c r="I325" s="38" t="str">
        <f t="shared" si="15"/>
        <v>明顯下降</v>
      </c>
      <c r="J325" s="32" t="b">
        <f t="shared" si="17"/>
        <v>1</v>
      </c>
    </row>
    <row r="326" spans="1:10">
      <c r="A326" s="36">
        <v>403301</v>
      </c>
      <c r="B326" s="37" t="s">
        <v>17</v>
      </c>
      <c r="C326" s="37" t="s">
        <v>367</v>
      </c>
      <c r="D326" s="38" t="str">
        <f>VLOOKUP(B326, Mapping!$A:$B, 2, FALSE)</f>
        <v>北部</v>
      </c>
      <c r="E326" s="38" t="str">
        <f>IFERROR(VLOOKUP(A326, '113_Faraway'!$A:$C, 3,FALSE),"非偏遠")</f>
        <v>非偏遠</v>
      </c>
      <c r="F326" s="33">
        <f>VLOOKUP(A326, '111_Raw'!$B:$D,3,FALSE)</f>
        <v>2031</v>
      </c>
      <c r="G326" s="33">
        <f>VLOOKUP(A326, '113_Raw'!$B:$D,3,FALSE)</f>
        <v>1960</v>
      </c>
      <c r="H326" s="35">
        <f t="shared" si="16"/>
        <v>-3.5000000000000003E-2</v>
      </c>
      <c r="I326" s="38" t="str">
        <f t="shared" si="15"/>
        <v>小幅下降</v>
      </c>
      <c r="J326" s="32" t="b">
        <f t="shared" si="17"/>
        <v>1</v>
      </c>
    </row>
    <row r="327" spans="1:10">
      <c r="A327" s="36">
        <v>403302</v>
      </c>
      <c r="B327" s="37" t="s">
        <v>17</v>
      </c>
      <c r="C327" s="37" t="s">
        <v>368</v>
      </c>
      <c r="D327" s="38" t="str">
        <f>VLOOKUP(B327, Mapping!$A:$B, 2, FALSE)</f>
        <v>北部</v>
      </c>
      <c r="E327" s="38" t="str">
        <f>IFERROR(VLOOKUP(A327, '113_Faraway'!$A:$C, 3,FALSE),"非偏遠")</f>
        <v>非偏遠</v>
      </c>
      <c r="F327" s="33">
        <f>VLOOKUP(A327, '111_Raw'!$B:$D,3,FALSE)</f>
        <v>930</v>
      </c>
      <c r="G327" s="33">
        <f>VLOOKUP(A327, '113_Raw'!$B:$D,3,FALSE)</f>
        <v>941</v>
      </c>
      <c r="H327" s="35">
        <f t="shared" si="16"/>
        <v>1.2E-2</v>
      </c>
      <c r="I327" s="38" t="str">
        <f t="shared" si="15"/>
        <v>穩定或成長</v>
      </c>
      <c r="J327" s="32" t="b">
        <f t="shared" si="17"/>
        <v>0</v>
      </c>
    </row>
    <row r="328" spans="1:10">
      <c r="A328" s="36">
        <v>403303</v>
      </c>
      <c r="B328" s="37" t="s">
        <v>17</v>
      </c>
      <c r="C328" s="37" t="s">
        <v>369</v>
      </c>
      <c r="D328" s="38" t="str">
        <f>VLOOKUP(B328, Mapping!$A:$B, 2, FALSE)</f>
        <v>北部</v>
      </c>
      <c r="E328" s="38" t="str">
        <f>IFERROR(VLOOKUP(A328, '113_Faraway'!$A:$C, 3,FALSE),"非偏遠")</f>
        <v>非偏遠</v>
      </c>
      <c r="F328" s="33">
        <f>VLOOKUP(A328, '111_Raw'!$B:$D,3,FALSE)</f>
        <v>1515</v>
      </c>
      <c r="G328" s="33">
        <f>VLOOKUP(A328, '113_Raw'!$B:$D,3,FALSE)</f>
        <v>1507</v>
      </c>
      <c r="H328" s="35">
        <f t="shared" si="16"/>
        <v>-5.0000000000000001E-3</v>
      </c>
      <c r="I328" s="38" t="str">
        <f t="shared" si="15"/>
        <v>小幅下降</v>
      </c>
      <c r="J328" s="32" t="b">
        <f t="shared" si="17"/>
        <v>0</v>
      </c>
    </row>
    <row r="329" spans="1:10">
      <c r="A329" s="36">
        <v>411301</v>
      </c>
      <c r="B329" s="37" t="s">
        <v>17</v>
      </c>
      <c r="C329" s="37" t="s">
        <v>370</v>
      </c>
      <c r="D329" s="38" t="str">
        <f>VLOOKUP(B329, Mapping!$A:$B, 2, FALSE)</f>
        <v>北部</v>
      </c>
      <c r="E329" s="38" t="str">
        <f>IFERROR(VLOOKUP(A329, '113_Faraway'!$A:$C, 3,FALSE),"非偏遠")</f>
        <v>非偏遠</v>
      </c>
      <c r="F329" s="33">
        <f>VLOOKUP(A329, '111_Raw'!$B:$D,3,FALSE)</f>
        <v>692</v>
      </c>
      <c r="G329" s="33">
        <f>VLOOKUP(A329, '113_Raw'!$B:$D,3,FALSE)</f>
        <v>745</v>
      </c>
      <c r="H329" s="35">
        <f t="shared" si="16"/>
        <v>7.6999999999999999E-2</v>
      </c>
      <c r="I329" s="38" t="str">
        <f t="shared" si="15"/>
        <v>穩定或成長</v>
      </c>
      <c r="J329" s="32" t="b">
        <f t="shared" si="17"/>
        <v>0</v>
      </c>
    </row>
    <row r="330" spans="1:10">
      <c r="A330" s="36">
        <v>411302</v>
      </c>
      <c r="B330" s="37" t="s">
        <v>17</v>
      </c>
      <c r="C330" s="37" t="s">
        <v>371</v>
      </c>
      <c r="D330" s="38" t="str">
        <f>VLOOKUP(B330, Mapping!$A:$B, 2, FALSE)</f>
        <v>北部</v>
      </c>
      <c r="E330" s="38" t="str">
        <f>IFERROR(VLOOKUP(A330, '113_Faraway'!$A:$C, 3,FALSE),"非偏遠")</f>
        <v>非偏遠</v>
      </c>
      <c r="F330" s="33">
        <f>VLOOKUP(A330, '111_Raw'!$B:$D,3,FALSE)</f>
        <v>468</v>
      </c>
      <c r="G330" s="33">
        <f>VLOOKUP(A330, '113_Raw'!$B:$D,3,FALSE)</f>
        <v>470</v>
      </c>
      <c r="H330" s="35">
        <f t="shared" si="16"/>
        <v>4.0000000000000001E-3</v>
      </c>
      <c r="I330" s="38" t="str">
        <f t="shared" si="15"/>
        <v>穩定或成長</v>
      </c>
      <c r="J330" s="32" t="b">
        <f t="shared" si="17"/>
        <v>0</v>
      </c>
    </row>
    <row r="331" spans="1:10">
      <c r="A331" s="36">
        <v>411303</v>
      </c>
      <c r="B331" s="37" t="s">
        <v>17</v>
      </c>
      <c r="C331" s="37" t="s">
        <v>372</v>
      </c>
      <c r="D331" s="38" t="str">
        <f>VLOOKUP(B331, Mapping!$A:$B, 2, FALSE)</f>
        <v>北部</v>
      </c>
      <c r="E331" s="38" t="str">
        <f>IFERROR(VLOOKUP(A331, '113_Faraway'!$A:$C, 3,FALSE),"非偏遠")</f>
        <v>非偏遠</v>
      </c>
      <c r="F331" s="33">
        <f>VLOOKUP(A331, '111_Raw'!$B:$D,3,FALSE)</f>
        <v>265</v>
      </c>
      <c r="G331" s="33">
        <f>VLOOKUP(A331, '113_Raw'!$B:$D,3,FALSE)</f>
        <v>269</v>
      </c>
      <c r="H331" s="35">
        <f t="shared" si="16"/>
        <v>1.4999999999999999E-2</v>
      </c>
      <c r="I331" s="38" t="str">
        <f t="shared" si="15"/>
        <v>穩定或成長</v>
      </c>
      <c r="J331" s="32" t="b">
        <f t="shared" si="17"/>
        <v>0</v>
      </c>
    </row>
    <row r="332" spans="1:10">
      <c r="A332" s="36">
        <v>413301</v>
      </c>
      <c r="B332" s="37" t="s">
        <v>17</v>
      </c>
      <c r="C332" s="37" t="s">
        <v>114</v>
      </c>
      <c r="D332" s="38" t="str">
        <f>VLOOKUP(B332, Mapping!$A:$B, 2, FALSE)</f>
        <v>北部</v>
      </c>
      <c r="E332" s="38" t="str">
        <f>IFERROR(VLOOKUP(A332, '113_Faraway'!$A:$C, 3,FALSE),"非偏遠")</f>
        <v>非偏遠</v>
      </c>
      <c r="F332" s="33">
        <f>VLOOKUP(A332, '111_Raw'!$B:$D,3,FALSE)</f>
        <v>1380</v>
      </c>
      <c r="G332" s="33">
        <f>VLOOKUP(A332, '113_Raw'!$B:$D,3,FALSE)</f>
        <v>1367</v>
      </c>
      <c r="H332" s="35">
        <f t="shared" si="16"/>
        <v>-8.9999999999999993E-3</v>
      </c>
      <c r="I332" s="38" t="str">
        <f t="shared" si="15"/>
        <v>小幅下降</v>
      </c>
      <c r="J332" s="32" t="b">
        <f t="shared" si="17"/>
        <v>0</v>
      </c>
    </row>
    <row r="333" spans="1:10">
      <c r="A333" s="36">
        <v>413302</v>
      </c>
      <c r="B333" s="37" t="s">
        <v>17</v>
      </c>
      <c r="C333" s="37" t="s">
        <v>373</v>
      </c>
      <c r="D333" s="38" t="str">
        <f>VLOOKUP(B333, Mapping!$A:$B, 2, FALSE)</f>
        <v>北部</v>
      </c>
      <c r="E333" s="38" t="str">
        <f>IFERROR(VLOOKUP(A333, '113_Faraway'!$A:$C, 3,FALSE),"非偏遠")</f>
        <v>非偏遠</v>
      </c>
      <c r="F333" s="33">
        <f>VLOOKUP(A333, '111_Raw'!$B:$D,3,FALSE)</f>
        <v>930</v>
      </c>
      <c r="G333" s="33">
        <f>VLOOKUP(A333, '113_Raw'!$B:$D,3,FALSE)</f>
        <v>956</v>
      </c>
      <c r="H333" s="35">
        <f t="shared" si="16"/>
        <v>2.8000000000000001E-2</v>
      </c>
      <c r="I333" s="38" t="str">
        <f t="shared" si="15"/>
        <v>穩定或成長</v>
      </c>
      <c r="J333" s="32" t="b">
        <f t="shared" si="17"/>
        <v>0</v>
      </c>
    </row>
    <row r="334" spans="1:10">
      <c r="A334" s="36">
        <v>421301</v>
      </c>
      <c r="B334" s="37" t="s">
        <v>17</v>
      </c>
      <c r="C334" s="37" t="s">
        <v>374</v>
      </c>
      <c r="D334" s="38" t="str">
        <f>VLOOKUP(B334, Mapping!$A:$B, 2, FALSE)</f>
        <v>北部</v>
      </c>
      <c r="E334" s="38" t="str">
        <f>IFERROR(VLOOKUP(A334, '113_Faraway'!$A:$C, 3,FALSE),"非偏遠")</f>
        <v>非偏遠</v>
      </c>
      <c r="F334" s="33">
        <f>VLOOKUP(A334, '111_Raw'!$B:$D,3,FALSE)</f>
        <v>1167</v>
      </c>
      <c r="G334" s="33">
        <f>VLOOKUP(A334, '113_Raw'!$B:$D,3,FALSE)</f>
        <v>1147</v>
      </c>
      <c r="H334" s="35">
        <f t="shared" si="16"/>
        <v>-1.7000000000000001E-2</v>
      </c>
      <c r="I334" s="38" t="str">
        <f t="shared" si="15"/>
        <v>小幅下降</v>
      </c>
      <c r="J334" s="32" t="b">
        <f t="shared" si="17"/>
        <v>1</v>
      </c>
    </row>
    <row r="335" spans="1:10">
      <c r="A335" s="36">
        <v>421302</v>
      </c>
      <c r="B335" s="37" t="s">
        <v>17</v>
      </c>
      <c r="C335" s="37" t="s">
        <v>375</v>
      </c>
      <c r="D335" s="38" t="str">
        <f>VLOOKUP(B335, Mapping!$A:$B, 2, FALSE)</f>
        <v>北部</v>
      </c>
      <c r="E335" s="38" t="str">
        <f>IFERROR(VLOOKUP(A335, '113_Faraway'!$A:$C, 3,FALSE),"非偏遠")</f>
        <v>非偏遠</v>
      </c>
      <c r="F335" s="33">
        <f>VLOOKUP(A335, '111_Raw'!$B:$D,3,FALSE)</f>
        <v>389</v>
      </c>
      <c r="G335" s="33">
        <f>VLOOKUP(A335, '113_Raw'!$B:$D,3,FALSE)</f>
        <v>398</v>
      </c>
      <c r="H335" s="35">
        <f t="shared" si="16"/>
        <v>2.3E-2</v>
      </c>
      <c r="I335" s="38" t="str">
        <f t="shared" si="15"/>
        <v>穩定或成長</v>
      </c>
      <c r="J335" s="32" t="b">
        <f t="shared" si="17"/>
        <v>0</v>
      </c>
    </row>
    <row r="336" spans="1:10">
      <c r="A336" s="36">
        <v>421303</v>
      </c>
      <c r="B336" s="37" t="s">
        <v>17</v>
      </c>
      <c r="C336" s="37" t="s">
        <v>620</v>
      </c>
      <c r="D336" s="38" t="str">
        <f>VLOOKUP(B336, Mapping!$A:$B, 2, FALSE)</f>
        <v>北部</v>
      </c>
      <c r="E336" s="38" t="str">
        <f>IFERROR(VLOOKUP(A336, '113_Faraway'!$A:$C, 3,FALSE),"非偏遠")</f>
        <v>非偏遠</v>
      </c>
      <c r="F336" s="33">
        <f>VLOOKUP(A336, '111_Raw'!$B:$D,3,FALSE)</f>
        <v>128</v>
      </c>
      <c r="G336" s="33">
        <f>VLOOKUP(A336, '113_Raw'!$B:$D,3,FALSE)</f>
        <v>133</v>
      </c>
      <c r="H336" s="35">
        <f t="shared" si="16"/>
        <v>3.9E-2</v>
      </c>
      <c r="I336" s="38" t="str">
        <f t="shared" si="15"/>
        <v>穩定或成長</v>
      </c>
      <c r="J336" s="32" t="b">
        <f t="shared" si="17"/>
        <v>0</v>
      </c>
    </row>
    <row r="337" spans="1:10">
      <c r="A337" s="36">
        <v>423301</v>
      </c>
      <c r="B337" s="37" t="s">
        <v>17</v>
      </c>
      <c r="C337" s="37" t="s">
        <v>377</v>
      </c>
      <c r="D337" s="38" t="str">
        <f>VLOOKUP(B337, Mapping!$A:$B, 2, FALSE)</f>
        <v>北部</v>
      </c>
      <c r="E337" s="38" t="str">
        <f>IFERROR(VLOOKUP(A337, '113_Faraway'!$A:$C, 3,FALSE),"非偏遠")</f>
        <v>非偏遠</v>
      </c>
      <c r="F337" s="33">
        <f>VLOOKUP(A337, '111_Raw'!$B:$D,3,FALSE)</f>
        <v>1949</v>
      </c>
      <c r="G337" s="33">
        <f>VLOOKUP(A337, '113_Raw'!$B:$D,3,FALSE)</f>
        <v>1859</v>
      </c>
      <c r="H337" s="35">
        <f t="shared" si="16"/>
        <v>-4.5999999999999999E-2</v>
      </c>
      <c r="I337" s="38" t="str">
        <f t="shared" si="15"/>
        <v>小幅下降</v>
      </c>
      <c r="J337" s="32" t="b">
        <f t="shared" si="17"/>
        <v>1</v>
      </c>
    </row>
    <row r="338" spans="1:10">
      <c r="A338" s="36">
        <v>423302</v>
      </c>
      <c r="B338" s="37" t="s">
        <v>17</v>
      </c>
      <c r="C338" s="37" t="s">
        <v>378</v>
      </c>
      <c r="D338" s="38" t="str">
        <f>VLOOKUP(B338, Mapping!$A:$B, 2, FALSE)</f>
        <v>北部</v>
      </c>
      <c r="E338" s="38" t="str">
        <f>IFERROR(VLOOKUP(A338, '113_Faraway'!$A:$C, 3,FALSE),"非偏遠")</f>
        <v>非偏遠</v>
      </c>
      <c r="F338" s="33">
        <f>VLOOKUP(A338, '111_Raw'!$B:$D,3,FALSE)</f>
        <v>2195</v>
      </c>
      <c r="G338" s="33">
        <f>VLOOKUP(A338, '113_Raw'!$B:$D,3,FALSE)</f>
        <v>2017</v>
      </c>
      <c r="H338" s="35">
        <f t="shared" si="16"/>
        <v>-8.1000000000000003E-2</v>
      </c>
      <c r="I338" s="38" t="str">
        <f t="shared" si="15"/>
        <v>明顯下降</v>
      </c>
      <c r="J338" s="32" t="b">
        <f t="shared" si="17"/>
        <v>1</v>
      </c>
    </row>
    <row r="339" spans="1:10">
      <c r="A339" s="36">
        <v>521301</v>
      </c>
      <c r="B339" s="37" t="s">
        <v>30</v>
      </c>
      <c r="C339" s="37" t="s">
        <v>379</v>
      </c>
      <c r="D339" s="38" t="str">
        <f>VLOOKUP(B339, Mapping!$A:$B, 2, FALSE)</f>
        <v>南部</v>
      </c>
      <c r="E339" s="38" t="str">
        <f>IFERROR(VLOOKUP(A339, '113_Faraway'!$A:$C, 3,FALSE),"非偏遠")</f>
        <v>非偏遠</v>
      </c>
      <c r="F339" s="33">
        <f>VLOOKUP(A339, '111_Raw'!$B:$D,3,FALSE)</f>
        <v>417</v>
      </c>
      <c r="G339" s="33">
        <f>VLOOKUP(A339, '113_Raw'!$B:$D,3,FALSE)</f>
        <v>328</v>
      </c>
      <c r="H339" s="35">
        <f t="shared" si="16"/>
        <v>-0.21299999999999999</v>
      </c>
      <c r="I339" s="38" t="str">
        <f t="shared" si="15"/>
        <v>明顯下降</v>
      </c>
      <c r="J339" s="32" t="b">
        <f t="shared" si="17"/>
        <v>1</v>
      </c>
    </row>
    <row r="340" spans="1:10">
      <c r="A340" s="36">
        <v>521303</v>
      </c>
      <c r="B340" s="37" t="s">
        <v>30</v>
      </c>
      <c r="C340" s="37" t="s">
        <v>380</v>
      </c>
      <c r="D340" s="38" t="str">
        <f>VLOOKUP(B340, Mapping!$A:$B, 2, FALSE)</f>
        <v>南部</v>
      </c>
      <c r="E340" s="38" t="str">
        <f>IFERROR(VLOOKUP(A340, '113_Faraway'!$A:$C, 3,FALSE),"非偏遠")</f>
        <v>非偏遠</v>
      </c>
      <c r="F340" s="33">
        <f>VLOOKUP(A340, '111_Raw'!$B:$D,3,FALSE)</f>
        <v>536</v>
      </c>
      <c r="G340" s="33">
        <f>VLOOKUP(A340, '113_Raw'!$B:$D,3,FALSE)</f>
        <v>508</v>
      </c>
      <c r="H340" s="35">
        <f t="shared" si="16"/>
        <v>-5.1999999999999998E-2</v>
      </c>
      <c r="I340" s="38" t="str">
        <f t="shared" si="15"/>
        <v>明顯下降</v>
      </c>
      <c r="J340" s="32" t="b">
        <f t="shared" si="17"/>
        <v>1</v>
      </c>
    </row>
    <row r="341" spans="1:10">
      <c r="A341" s="36">
        <v>523301</v>
      </c>
      <c r="B341" s="37" t="s">
        <v>30</v>
      </c>
      <c r="C341" s="37" t="s">
        <v>381</v>
      </c>
      <c r="D341" s="38" t="str">
        <f>VLOOKUP(B341, Mapping!$A:$B, 2, FALSE)</f>
        <v>南部</v>
      </c>
      <c r="E341" s="38" t="str">
        <f>IFERROR(VLOOKUP(A341, '113_Faraway'!$A:$C, 3,FALSE),"非偏遠")</f>
        <v>非偏遠</v>
      </c>
      <c r="F341" s="33">
        <f>VLOOKUP(A341, '111_Raw'!$B:$D,3,FALSE)</f>
        <v>678</v>
      </c>
      <c r="G341" s="33">
        <f>VLOOKUP(A341, '113_Raw'!$B:$D,3,FALSE)</f>
        <v>719</v>
      </c>
      <c r="H341" s="35">
        <f t="shared" si="16"/>
        <v>0.06</v>
      </c>
      <c r="I341" s="38" t="str">
        <f t="shared" si="15"/>
        <v>穩定或成長</v>
      </c>
      <c r="J341" s="32" t="b">
        <f t="shared" si="17"/>
        <v>0</v>
      </c>
    </row>
    <row r="342" spans="1:10">
      <c r="A342" s="36">
        <v>533301</v>
      </c>
      <c r="B342" s="37" t="s">
        <v>30</v>
      </c>
      <c r="C342" s="37" t="s">
        <v>382</v>
      </c>
      <c r="D342" s="38" t="str">
        <f>VLOOKUP(B342, Mapping!$A:$B, 2, FALSE)</f>
        <v>南部</v>
      </c>
      <c r="E342" s="38" t="str">
        <f>IFERROR(VLOOKUP(A342, '113_Faraway'!$A:$C, 3,FALSE),"非偏遠")</f>
        <v>非偏遠</v>
      </c>
      <c r="F342" s="33">
        <f>VLOOKUP(A342, '111_Raw'!$B:$D,3,FALSE)</f>
        <v>1540</v>
      </c>
      <c r="G342" s="33">
        <f>VLOOKUP(A342, '113_Raw'!$B:$D,3,FALSE)</f>
        <v>1554</v>
      </c>
      <c r="H342" s="35">
        <f t="shared" si="16"/>
        <v>8.9999999999999993E-3</v>
      </c>
      <c r="I342" s="38" t="str">
        <f t="shared" si="15"/>
        <v>穩定或成長</v>
      </c>
      <c r="J342" s="32" t="b">
        <f t="shared" si="17"/>
        <v>0</v>
      </c>
    </row>
    <row r="343" spans="1:10">
      <c r="A343" s="36">
        <v>533302</v>
      </c>
      <c r="B343" s="37" t="s">
        <v>30</v>
      </c>
      <c r="C343" s="37" t="s">
        <v>68</v>
      </c>
      <c r="D343" s="38" t="str">
        <f>VLOOKUP(B343, Mapping!$A:$B, 2, FALSE)</f>
        <v>南部</v>
      </c>
      <c r="E343" s="38" t="str">
        <f>IFERROR(VLOOKUP(A343, '113_Faraway'!$A:$C, 3,FALSE),"非偏遠")</f>
        <v>非偏遠</v>
      </c>
      <c r="F343" s="33">
        <f>VLOOKUP(A343, '111_Raw'!$B:$D,3,FALSE)</f>
        <v>1492</v>
      </c>
      <c r="G343" s="33">
        <f>VLOOKUP(A343, '113_Raw'!$B:$D,3,FALSE)</f>
        <v>1488</v>
      </c>
      <c r="H343" s="35">
        <f t="shared" si="16"/>
        <v>-3.0000000000000001E-3</v>
      </c>
      <c r="I343" s="38" t="str">
        <f t="shared" si="15"/>
        <v>小幅下降</v>
      </c>
      <c r="J343" s="32" t="b">
        <f t="shared" si="17"/>
        <v>0</v>
      </c>
    </row>
    <row r="344" spans="1:10">
      <c r="A344" s="36">
        <v>540301</v>
      </c>
      <c r="B344" s="37" t="s">
        <v>30</v>
      </c>
      <c r="C344" s="37" t="s">
        <v>383</v>
      </c>
      <c r="D344" s="38" t="str">
        <f>VLOOKUP(B344, Mapping!$A:$B, 2, FALSE)</f>
        <v>南部</v>
      </c>
      <c r="E344" s="38" t="str">
        <f>IFERROR(VLOOKUP(A344, '113_Faraway'!$A:$C, 3,FALSE),"非偏遠")</f>
        <v>非偏遠</v>
      </c>
      <c r="F344" s="33">
        <f>VLOOKUP(A344, '111_Raw'!$B:$D,3,FALSE)</f>
        <v>626</v>
      </c>
      <c r="G344" s="33">
        <f>VLOOKUP(A344, '113_Raw'!$B:$D,3,FALSE)</f>
        <v>621</v>
      </c>
      <c r="H344" s="35">
        <f t="shared" si="16"/>
        <v>-8.0000000000000002E-3</v>
      </c>
      <c r="I344" s="38" t="str">
        <f t="shared" si="15"/>
        <v>小幅下降</v>
      </c>
      <c r="J344" s="32" t="b">
        <f t="shared" si="17"/>
        <v>0</v>
      </c>
    </row>
    <row r="345" spans="1:10">
      <c r="A345" s="36">
        <v>543301</v>
      </c>
      <c r="B345" s="37" t="s">
        <v>30</v>
      </c>
      <c r="C345" s="37" t="s">
        <v>274</v>
      </c>
      <c r="D345" s="38" t="str">
        <f>VLOOKUP(B345, Mapping!$A:$B, 2, FALSE)</f>
        <v>南部</v>
      </c>
      <c r="E345" s="38" t="str">
        <f>IFERROR(VLOOKUP(A345, '113_Faraway'!$A:$C, 3,FALSE),"非偏遠")</f>
        <v>非偏遠</v>
      </c>
      <c r="F345" s="33">
        <f>VLOOKUP(A345, '111_Raw'!$B:$D,3,FALSE)</f>
        <v>1403</v>
      </c>
      <c r="G345" s="33">
        <f>VLOOKUP(A345, '113_Raw'!$B:$D,3,FALSE)</f>
        <v>1433</v>
      </c>
      <c r="H345" s="35">
        <f t="shared" si="16"/>
        <v>2.1000000000000001E-2</v>
      </c>
      <c r="I345" s="38" t="str">
        <f t="shared" si="15"/>
        <v>穩定或成長</v>
      </c>
      <c r="J345" s="32" t="b">
        <f t="shared" si="17"/>
        <v>0</v>
      </c>
    </row>
    <row r="346" spans="1:10">
      <c r="A346" s="36">
        <v>543302</v>
      </c>
      <c r="B346" s="37" t="s">
        <v>30</v>
      </c>
      <c r="C346" s="37" t="s">
        <v>384</v>
      </c>
      <c r="D346" s="38" t="str">
        <f>VLOOKUP(B346, Mapping!$A:$B, 2, FALSE)</f>
        <v>南部</v>
      </c>
      <c r="E346" s="38" t="str">
        <f>IFERROR(VLOOKUP(A346, '113_Faraway'!$A:$C, 3,FALSE),"非偏遠")</f>
        <v>非偏遠</v>
      </c>
      <c r="F346" s="33">
        <f>VLOOKUP(A346, '111_Raw'!$B:$D,3,FALSE)</f>
        <v>816</v>
      </c>
      <c r="G346" s="33">
        <f>VLOOKUP(A346, '113_Raw'!$B:$D,3,FALSE)</f>
        <v>766</v>
      </c>
      <c r="H346" s="35">
        <f t="shared" si="16"/>
        <v>-6.0999999999999999E-2</v>
      </c>
      <c r="I346" s="38" t="str">
        <f t="shared" si="15"/>
        <v>明顯下降</v>
      </c>
      <c r="J346" s="32" t="b">
        <f t="shared" si="17"/>
        <v>1</v>
      </c>
    </row>
    <row r="347" spans="1:10">
      <c r="A347" s="36">
        <v>551301</v>
      </c>
      <c r="B347" s="37" t="s">
        <v>30</v>
      </c>
      <c r="C347" s="37" t="s">
        <v>385</v>
      </c>
      <c r="D347" s="38" t="str">
        <f>VLOOKUP(B347, Mapping!$A:$B, 2, FALSE)</f>
        <v>南部</v>
      </c>
      <c r="E347" s="38" t="str">
        <f>IFERROR(VLOOKUP(A347, '113_Faraway'!$A:$C, 3,FALSE),"非偏遠")</f>
        <v>非偏遠</v>
      </c>
      <c r="F347" s="33">
        <f>VLOOKUP(A347, '111_Raw'!$B:$D,3,FALSE)</f>
        <v>1626</v>
      </c>
      <c r="G347" s="33">
        <f>VLOOKUP(A347, '113_Raw'!$B:$D,3,FALSE)</f>
        <v>1370</v>
      </c>
      <c r="H347" s="35">
        <f t="shared" si="16"/>
        <v>-0.157</v>
      </c>
      <c r="I347" s="38" t="str">
        <f t="shared" si="15"/>
        <v>明顯下降</v>
      </c>
      <c r="J347" s="32" t="b">
        <f t="shared" si="17"/>
        <v>1</v>
      </c>
    </row>
    <row r="348" spans="1:10">
      <c r="A348" s="36">
        <v>551303</v>
      </c>
      <c r="B348" s="37" t="s">
        <v>30</v>
      </c>
      <c r="C348" s="37" t="s">
        <v>386</v>
      </c>
      <c r="D348" s="38" t="str">
        <f>VLOOKUP(B348, Mapping!$A:$B, 2, FALSE)</f>
        <v>南部</v>
      </c>
      <c r="E348" s="38" t="str">
        <f>IFERROR(VLOOKUP(A348, '113_Faraway'!$A:$C, 3,FALSE),"非偏遠")</f>
        <v>非偏遠</v>
      </c>
      <c r="F348" s="33">
        <f>VLOOKUP(A348, '111_Raw'!$B:$D,3,FALSE)</f>
        <v>18</v>
      </c>
      <c r="G348" s="33">
        <f>VLOOKUP(A348, '113_Raw'!$B:$D,3,FALSE)</f>
        <v>0</v>
      </c>
      <c r="H348" s="35">
        <f t="shared" si="16"/>
        <v>-1</v>
      </c>
      <c r="I348" s="38" t="str">
        <f t="shared" si="15"/>
        <v>明顯下降</v>
      </c>
      <c r="J348" s="32" t="b">
        <f t="shared" si="17"/>
        <v>1</v>
      </c>
    </row>
    <row r="349" spans="1:10">
      <c r="A349" s="36">
        <v>553301</v>
      </c>
      <c r="B349" s="37" t="s">
        <v>30</v>
      </c>
      <c r="C349" s="37" t="s">
        <v>387</v>
      </c>
      <c r="D349" s="38" t="str">
        <f>VLOOKUP(B349, Mapping!$A:$B, 2, FALSE)</f>
        <v>南部</v>
      </c>
      <c r="E349" s="38" t="str">
        <f>IFERROR(VLOOKUP(A349, '113_Faraway'!$A:$C, 3,FALSE),"非偏遠")</f>
        <v>非偏遠</v>
      </c>
      <c r="F349" s="33">
        <f>VLOOKUP(A349, '111_Raw'!$B:$D,3,FALSE)</f>
        <v>2569</v>
      </c>
      <c r="G349" s="33">
        <f>VLOOKUP(A349, '113_Raw'!$B:$D,3,FALSE)</f>
        <v>2570</v>
      </c>
      <c r="H349" s="35">
        <f t="shared" si="16"/>
        <v>0</v>
      </c>
      <c r="I349" s="38" t="str">
        <f t="shared" si="15"/>
        <v>穩定或成長</v>
      </c>
      <c r="J349" s="32" t="b">
        <f t="shared" si="17"/>
        <v>0</v>
      </c>
    </row>
    <row r="350" spans="1:10">
      <c r="A350" s="36">
        <v>553302</v>
      </c>
      <c r="B350" s="37" t="s">
        <v>30</v>
      </c>
      <c r="C350" s="37" t="s">
        <v>83</v>
      </c>
      <c r="D350" s="38" t="str">
        <f>VLOOKUP(B350, Mapping!$A:$B, 2, FALSE)</f>
        <v>南部</v>
      </c>
      <c r="E350" s="38" t="str">
        <f>IFERROR(VLOOKUP(A350, '113_Faraway'!$A:$C, 3,FALSE),"非偏遠")</f>
        <v>非偏遠</v>
      </c>
      <c r="F350" s="33">
        <f>VLOOKUP(A350, '111_Raw'!$B:$D,3,FALSE)</f>
        <v>1200</v>
      </c>
      <c r="G350" s="33">
        <f>VLOOKUP(A350, '113_Raw'!$B:$D,3,FALSE)</f>
        <v>1199</v>
      </c>
      <c r="H350" s="35">
        <f t="shared" si="16"/>
        <v>-1E-3</v>
      </c>
      <c r="I350" s="38" t="str">
        <f t="shared" si="15"/>
        <v>小幅下降</v>
      </c>
      <c r="J350" s="32" t="b">
        <f t="shared" si="17"/>
        <v>0</v>
      </c>
    </row>
    <row r="351" spans="1:10">
      <c r="A351" s="36">
        <v>563301</v>
      </c>
      <c r="B351" s="37" t="s">
        <v>30</v>
      </c>
      <c r="C351" s="37" t="s">
        <v>388</v>
      </c>
      <c r="D351" s="38" t="str">
        <f>VLOOKUP(B351, Mapping!$A:$B, 2, FALSE)</f>
        <v>南部</v>
      </c>
      <c r="E351" s="38" t="str">
        <f>IFERROR(VLOOKUP(A351, '113_Faraway'!$A:$C, 3,FALSE),"非偏遠")</f>
        <v>非偏遠</v>
      </c>
      <c r="F351" s="33">
        <f>VLOOKUP(A351, '111_Raw'!$B:$D,3,FALSE)</f>
        <v>674</v>
      </c>
      <c r="G351" s="33">
        <f>VLOOKUP(A351, '113_Raw'!$B:$D,3,FALSE)</f>
        <v>683</v>
      </c>
      <c r="H351" s="35">
        <f t="shared" si="16"/>
        <v>1.2999999999999999E-2</v>
      </c>
      <c r="I351" s="38" t="str">
        <f t="shared" si="15"/>
        <v>穩定或成長</v>
      </c>
      <c r="J351" s="32" t="b">
        <f t="shared" si="17"/>
        <v>0</v>
      </c>
    </row>
    <row r="352" spans="1:10">
      <c r="A352" s="36">
        <v>573301</v>
      </c>
      <c r="B352" s="37" t="s">
        <v>30</v>
      </c>
      <c r="C352" s="37" t="s">
        <v>389</v>
      </c>
      <c r="D352" s="38" t="str">
        <f>VLOOKUP(B352, Mapping!$A:$B, 2, FALSE)</f>
        <v>南部</v>
      </c>
      <c r="E352" s="38" t="str">
        <f>IFERROR(VLOOKUP(A352, '113_Faraway'!$A:$C, 3,FALSE),"非偏遠")</f>
        <v>非偏遠</v>
      </c>
      <c r="F352" s="33">
        <f>VLOOKUP(A352, '111_Raw'!$B:$D,3,FALSE)</f>
        <v>2252</v>
      </c>
      <c r="G352" s="33">
        <f>VLOOKUP(A352, '113_Raw'!$B:$D,3,FALSE)</f>
        <v>2265</v>
      </c>
      <c r="H352" s="35">
        <f t="shared" si="16"/>
        <v>6.0000000000000001E-3</v>
      </c>
      <c r="I352" s="38" t="str">
        <f t="shared" si="15"/>
        <v>穩定或成長</v>
      </c>
      <c r="J352" s="32" t="b">
        <f t="shared" si="17"/>
        <v>0</v>
      </c>
    </row>
    <row r="353" spans="1:10">
      <c r="A353" s="36">
        <v>580301</v>
      </c>
      <c r="B353" s="37" t="s">
        <v>30</v>
      </c>
      <c r="C353" s="37" t="s">
        <v>390</v>
      </c>
      <c r="D353" s="38" t="str">
        <f>VLOOKUP(B353, Mapping!$A:$B, 2, FALSE)</f>
        <v>南部</v>
      </c>
      <c r="E353" s="38" t="str">
        <f>IFERROR(VLOOKUP(A353, '113_Faraway'!$A:$C, 3,FALSE),"非偏遠")</f>
        <v>非偏遠</v>
      </c>
      <c r="F353" s="33">
        <f>VLOOKUP(A353, '111_Raw'!$B:$D,3,FALSE)</f>
        <v>864</v>
      </c>
      <c r="G353" s="33">
        <f>VLOOKUP(A353, '113_Raw'!$B:$D,3,FALSE)</f>
        <v>862</v>
      </c>
      <c r="H353" s="35">
        <f t="shared" si="16"/>
        <v>-2E-3</v>
      </c>
      <c r="I353" s="38" t="str">
        <f t="shared" si="15"/>
        <v>小幅下降</v>
      </c>
      <c r="J353" s="32" t="b">
        <f t="shared" si="17"/>
        <v>0</v>
      </c>
    </row>
    <row r="354" spans="1:10">
      <c r="A354" s="36">
        <v>581301</v>
      </c>
      <c r="B354" s="37" t="s">
        <v>30</v>
      </c>
      <c r="C354" s="37" t="s">
        <v>391</v>
      </c>
      <c r="D354" s="38" t="str">
        <f>VLOOKUP(B354, Mapping!$A:$B, 2, FALSE)</f>
        <v>南部</v>
      </c>
      <c r="E354" s="38" t="str">
        <f>IFERROR(VLOOKUP(A354, '113_Faraway'!$A:$C, 3,FALSE),"非偏遠")</f>
        <v>非偏遠</v>
      </c>
      <c r="F354" s="33">
        <f>VLOOKUP(A354, '111_Raw'!$B:$D,3,FALSE)</f>
        <v>871</v>
      </c>
      <c r="G354" s="33">
        <f>VLOOKUP(A354, '113_Raw'!$B:$D,3,FALSE)</f>
        <v>478</v>
      </c>
      <c r="H354" s="35">
        <f t="shared" si="16"/>
        <v>-0.45100000000000001</v>
      </c>
      <c r="I354" s="38" t="str">
        <f t="shared" si="15"/>
        <v>明顯下降</v>
      </c>
      <c r="J354" s="32" t="b">
        <f t="shared" si="17"/>
        <v>1</v>
      </c>
    </row>
    <row r="355" spans="1:10">
      <c r="A355" s="36">
        <v>581302</v>
      </c>
      <c r="B355" s="37" t="s">
        <v>30</v>
      </c>
      <c r="C355" s="37" t="s">
        <v>392</v>
      </c>
      <c r="D355" s="38" t="str">
        <f>VLOOKUP(B355, Mapping!$A:$B, 2, FALSE)</f>
        <v>南部</v>
      </c>
      <c r="E355" s="38" t="str">
        <f>IFERROR(VLOOKUP(A355, '113_Faraway'!$A:$C, 3,FALSE),"非偏遠")</f>
        <v>非偏遠</v>
      </c>
      <c r="F355" s="33">
        <f>VLOOKUP(A355, '111_Raw'!$B:$D,3,FALSE)</f>
        <v>1913</v>
      </c>
      <c r="G355" s="33">
        <f>VLOOKUP(A355, '113_Raw'!$B:$D,3,FALSE)</f>
        <v>1925</v>
      </c>
      <c r="H355" s="35">
        <f t="shared" si="16"/>
        <v>6.0000000000000001E-3</v>
      </c>
      <c r="I355" s="38" t="str">
        <f t="shared" si="15"/>
        <v>穩定或成長</v>
      </c>
      <c r="J355" s="32" t="b">
        <f t="shared" si="17"/>
        <v>0</v>
      </c>
    </row>
    <row r="356" spans="1:10">
      <c r="A356" s="36">
        <v>583301</v>
      </c>
      <c r="B356" s="37" t="s">
        <v>30</v>
      </c>
      <c r="C356" s="37" t="s">
        <v>378</v>
      </c>
      <c r="D356" s="38" t="str">
        <f>VLOOKUP(B356, Mapping!$A:$B, 2, FALSE)</f>
        <v>南部</v>
      </c>
      <c r="E356" s="38" t="str">
        <f>IFERROR(VLOOKUP(A356, '113_Faraway'!$A:$C, 3,FALSE),"非偏遠")</f>
        <v>非偏遠</v>
      </c>
      <c r="F356" s="33">
        <f>VLOOKUP(A356, '111_Raw'!$B:$D,3,FALSE)</f>
        <v>1092</v>
      </c>
      <c r="G356" s="33">
        <f>VLOOKUP(A356, '113_Raw'!$B:$D,3,FALSE)</f>
        <v>1075</v>
      </c>
      <c r="H356" s="35">
        <f t="shared" si="16"/>
        <v>-1.6E-2</v>
      </c>
      <c r="I356" s="38" t="str">
        <f t="shared" si="15"/>
        <v>小幅下降</v>
      </c>
      <c r="J356" s="32" t="b">
        <f t="shared" si="17"/>
        <v>1</v>
      </c>
    </row>
    <row r="357" spans="1:10">
      <c r="A357" s="36">
        <v>593301</v>
      </c>
      <c r="B357" s="37" t="s">
        <v>30</v>
      </c>
      <c r="C357" s="37" t="s">
        <v>393</v>
      </c>
      <c r="D357" s="38" t="str">
        <f>VLOOKUP(B357, Mapping!$A:$B, 2, FALSE)</f>
        <v>南部</v>
      </c>
      <c r="E357" s="38" t="str">
        <f>IFERROR(VLOOKUP(A357, '113_Faraway'!$A:$C, 3,FALSE),"非偏遠")</f>
        <v>非偏遠</v>
      </c>
      <c r="F357" s="33">
        <f>VLOOKUP(A357, '111_Raw'!$B:$D,3,FALSE)</f>
        <v>1494</v>
      </c>
      <c r="G357" s="33">
        <f>VLOOKUP(A357, '113_Raw'!$B:$D,3,FALSE)</f>
        <v>1525</v>
      </c>
      <c r="H357" s="35">
        <f t="shared" si="16"/>
        <v>2.1000000000000001E-2</v>
      </c>
      <c r="I357" s="38" t="str">
        <f t="shared" si="15"/>
        <v>穩定或成長</v>
      </c>
      <c r="J357" s="32" t="b">
        <f t="shared" si="17"/>
        <v>0</v>
      </c>
    </row>
    <row r="358" spans="1:10">
      <c r="A358" s="36">
        <v>593302</v>
      </c>
      <c r="B358" s="37" t="s">
        <v>30</v>
      </c>
      <c r="C358" s="37" t="s">
        <v>394</v>
      </c>
      <c r="D358" s="38" t="str">
        <f>VLOOKUP(B358, Mapping!$A:$B, 2, FALSE)</f>
        <v>南部</v>
      </c>
      <c r="E358" s="38" t="str">
        <f>IFERROR(VLOOKUP(A358, '113_Faraway'!$A:$C, 3,FALSE),"非偏遠")</f>
        <v>非偏遠</v>
      </c>
      <c r="F358" s="33">
        <f>VLOOKUP(A358, '111_Raw'!$B:$D,3,FALSE)</f>
        <v>864</v>
      </c>
      <c r="G358" s="33">
        <f>VLOOKUP(A358, '113_Raw'!$B:$D,3,FALSE)</f>
        <v>883</v>
      </c>
      <c r="H358" s="35">
        <f t="shared" si="16"/>
        <v>2.1999999999999999E-2</v>
      </c>
      <c r="I358" s="38" t="str">
        <f t="shared" si="15"/>
        <v>穩定或成長</v>
      </c>
      <c r="J358" s="32" t="b">
        <f t="shared" si="17"/>
        <v>0</v>
      </c>
    </row>
    <row r="359" spans="1:10">
      <c r="A359" s="36">
        <v>613301</v>
      </c>
      <c r="B359" s="37" t="s">
        <v>30</v>
      </c>
      <c r="C359" s="37" t="s">
        <v>395</v>
      </c>
      <c r="D359" s="38" t="str">
        <f>VLOOKUP(B359, Mapping!$A:$B, 2, FALSE)</f>
        <v>南部</v>
      </c>
      <c r="E359" s="38" t="str">
        <f>IFERROR(VLOOKUP(A359, '113_Faraway'!$A:$C, 3,FALSE),"非偏遠")</f>
        <v>非偏遠</v>
      </c>
      <c r="F359" s="33">
        <f>VLOOKUP(A359, '111_Raw'!$B:$D,3,FALSE)</f>
        <v>1374</v>
      </c>
      <c r="G359" s="33">
        <f>VLOOKUP(A359, '113_Raw'!$B:$D,3,FALSE)</f>
        <v>1408</v>
      </c>
      <c r="H359" s="35">
        <f t="shared" si="16"/>
        <v>2.5000000000000001E-2</v>
      </c>
      <c r="I359" s="38" t="str">
        <f t="shared" si="15"/>
        <v>穩定或成長</v>
      </c>
      <c r="J359" s="32" t="b">
        <f t="shared" si="17"/>
        <v>0</v>
      </c>
    </row>
    <row r="360" spans="1:10">
      <c r="A360" s="36">
        <v>710301</v>
      </c>
      <c r="B360" s="37" t="s">
        <v>37</v>
      </c>
      <c r="C360" s="37" t="s">
        <v>396</v>
      </c>
      <c r="D360" s="38" t="str">
        <f>VLOOKUP(B360, Mapping!$A:$B, 2, FALSE)</f>
        <v>離島</v>
      </c>
      <c r="E360" s="38" t="str">
        <f>IFERROR(VLOOKUP(A360, '113_Faraway'!$A:$C, 3,FALSE),"非偏遠")</f>
        <v>偏遠</v>
      </c>
      <c r="F360" s="33">
        <f>VLOOKUP(A360, '111_Raw'!$B:$D,3,FALSE)</f>
        <v>939</v>
      </c>
      <c r="G360" s="33">
        <f>VLOOKUP(A360, '113_Raw'!$B:$D,3,FALSE)</f>
        <v>954</v>
      </c>
      <c r="H360" s="35">
        <f t="shared" si="16"/>
        <v>1.6E-2</v>
      </c>
      <c r="I360" s="38" t="str">
        <f t="shared" si="15"/>
        <v>穩定或成長</v>
      </c>
      <c r="J360" s="32" t="b">
        <f t="shared" si="17"/>
        <v>0</v>
      </c>
    </row>
    <row r="361" spans="1:10">
      <c r="A361" s="36">
        <v>720301</v>
      </c>
      <c r="B361" s="37" t="s">
        <v>38</v>
      </c>
      <c r="C361" s="37" t="s">
        <v>397</v>
      </c>
      <c r="D361" s="38" t="str">
        <f>VLOOKUP(B361, Mapping!$A:$B, 2, FALSE)</f>
        <v>離島</v>
      </c>
      <c r="E361" s="38" t="str">
        <f>IFERROR(VLOOKUP(A361, '113_Faraway'!$A:$C, 3,FALSE),"非偏遠")</f>
        <v>偏遠</v>
      </c>
      <c r="F361" s="33">
        <f>VLOOKUP(A361, '111_Raw'!$B:$D,3,FALSE)</f>
        <v>265</v>
      </c>
      <c r="G361" s="33">
        <f>VLOOKUP(A361, '113_Raw'!$B:$D,3,FALSE)</f>
        <v>257</v>
      </c>
      <c r="H361" s="35">
        <f t="shared" si="16"/>
        <v>-0.03</v>
      </c>
      <c r="I361" s="38" t="str">
        <f t="shared" si="15"/>
        <v>小幅下降</v>
      </c>
      <c r="J361" s="32" t="b">
        <f t="shared" si="17"/>
        <v>1</v>
      </c>
    </row>
    <row r="362" spans="1:10">
      <c r="A362" s="39">
        <v>11405</v>
      </c>
      <c r="B362" s="37" t="s">
        <v>19</v>
      </c>
      <c r="C362" s="37" t="s">
        <v>398</v>
      </c>
      <c r="D362" s="38" t="str">
        <f>VLOOKUP(B362, Mapping!$A:$B, 2, FALSE)</f>
        <v>北部</v>
      </c>
      <c r="E362" s="38" t="str">
        <f>IFERROR(VLOOKUP(A362, '113_Faraway'!$A:$C, 3,FALSE),"非偏遠")</f>
        <v>非偏遠</v>
      </c>
      <c r="F362" s="33">
        <f>VLOOKUP(A362, '111_Raw'!$B:$D,3,FALSE)</f>
        <v>2521</v>
      </c>
      <c r="G362" s="33">
        <f>VLOOKUP(A362, '113_Raw'!$B:$D,3,FALSE)</f>
        <v>2449</v>
      </c>
      <c r="H362" s="35">
        <f t="shared" si="16"/>
        <v>-2.9000000000000001E-2</v>
      </c>
      <c r="I362" s="38" t="str">
        <f t="shared" si="15"/>
        <v>小幅下降</v>
      </c>
      <c r="J362" s="32" t="b">
        <f t="shared" si="17"/>
        <v>1</v>
      </c>
    </row>
    <row r="363" spans="1:10">
      <c r="A363" s="39">
        <v>11407</v>
      </c>
      <c r="B363" s="37" t="s">
        <v>19</v>
      </c>
      <c r="C363" s="37" t="s">
        <v>399</v>
      </c>
      <c r="D363" s="38" t="str">
        <f>VLOOKUP(B363, Mapping!$A:$B, 2, FALSE)</f>
        <v>北部</v>
      </c>
      <c r="E363" s="38" t="str">
        <f>IFERROR(VLOOKUP(A363, '113_Faraway'!$A:$C, 3,FALSE),"非偏遠")</f>
        <v>非偏遠</v>
      </c>
      <c r="F363" s="33">
        <f>VLOOKUP(A363, '111_Raw'!$B:$D,3,FALSE)</f>
        <v>3037</v>
      </c>
      <c r="G363" s="33">
        <f>VLOOKUP(A363, '113_Raw'!$B:$D,3,FALSE)</f>
        <v>3157</v>
      </c>
      <c r="H363" s="35">
        <f t="shared" si="16"/>
        <v>0.04</v>
      </c>
      <c r="I363" s="38" t="str">
        <f t="shared" si="15"/>
        <v>穩定或成長</v>
      </c>
      <c r="J363" s="32" t="b">
        <f t="shared" si="17"/>
        <v>0</v>
      </c>
    </row>
    <row r="364" spans="1:10">
      <c r="A364" s="39">
        <v>11408</v>
      </c>
      <c r="B364" s="37" t="s">
        <v>19</v>
      </c>
      <c r="C364" s="37" t="s">
        <v>400</v>
      </c>
      <c r="D364" s="38" t="str">
        <f>VLOOKUP(B364, Mapping!$A:$B, 2, FALSE)</f>
        <v>北部</v>
      </c>
      <c r="E364" s="38" t="str">
        <f>IFERROR(VLOOKUP(A364, '113_Faraway'!$A:$C, 3,FALSE),"非偏遠")</f>
        <v>非偏遠</v>
      </c>
      <c r="F364" s="33">
        <f>VLOOKUP(A364, '111_Raw'!$B:$D,3,FALSE)</f>
        <v>843</v>
      </c>
      <c r="G364" s="33">
        <f>VLOOKUP(A364, '113_Raw'!$B:$D,3,FALSE)</f>
        <v>369</v>
      </c>
      <c r="H364" s="35">
        <f t="shared" si="16"/>
        <v>-0.56200000000000006</v>
      </c>
      <c r="I364" s="38" t="str">
        <f t="shared" si="15"/>
        <v>明顯下降</v>
      </c>
      <c r="J364" s="32" t="b">
        <f t="shared" si="17"/>
        <v>1</v>
      </c>
    </row>
    <row r="365" spans="1:10">
      <c r="A365" s="39">
        <v>11413</v>
      </c>
      <c r="B365" s="37" t="s">
        <v>19</v>
      </c>
      <c r="C365" s="37" t="s">
        <v>401</v>
      </c>
      <c r="D365" s="38" t="str">
        <f>VLOOKUP(B365, Mapping!$A:$B, 2, FALSE)</f>
        <v>北部</v>
      </c>
      <c r="E365" s="38" t="str">
        <f>IFERROR(VLOOKUP(A365, '113_Faraway'!$A:$C, 3,FALSE),"非偏遠")</f>
        <v>非偏遠</v>
      </c>
      <c r="F365" s="33">
        <f>VLOOKUP(A365, '111_Raw'!$B:$D,3,FALSE)</f>
        <v>1568</v>
      </c>
      <c r="G365" s="33">
        <f>VLOOKUP(A365, '113_Raw'!$B:$D,3,FALSE)</f>
        <v>1357</v>
      </c>
      <c r="H365" s="35">
        <f t="shared" si="16"/>
        <v>-0.13500000000000001</v>
      </c>
      <c r="I365" s="38" t="str">
        <f t="shared" si="15"/>
        <v>明顯下降</v>
      </c>
      <c r="J365" s="32" t="b">
        <f t="shared" si="17"/>
        <v>1</v>
      </c>
    </row>
    <row r="366" spans="1:10">
      <c r="A366" s="39">
        <v>11420</v>
      </c>
      <c r="B366" s="37" t="s">
        <v>19</v>
      </c>
      <c r="C366" s="37" t="s">
        <v>403</v>
      </c>
      <c r="D366" s="38" t="str">
        <f>VLOOKUP(B366, Mapping!$A:$B, 2, FALSE)</f>
        <v>北部</v>
      </c>
      <c r="E366" s="38" t="str">
        <f>IFERROR(VLOOKUP(A366, '113_Faraway'!$A:$C, 3,FALSE),"非偏遠")</f>
        <v>非偏遠</v>
      </c>
      <c r="F366" s="33">
        <f>VLOOKUP(A366, '111_Raw'!$B:$D,3,FALSE)</f>
        <v>1100</v>
      </c>
      <c r="G366" s="33">
        <f>VLOOKUP(A366, '113_Raw'!$B:$D,3,FALSE)</f>
        <v>1152</v>
      </c>
      <c r="H366" s="35">
        <f t="shared" si="16"/>
        <v>4.7E-2</v>
      </c>
      <c r="I366" s="38" t="str">
        <f t="shared" si="15"/>
        <v>穩定或成長</v>
      </c>
      <c r="J366" s="32" t="b">
        <f t="shared" si="17"/>
        <v>0</v>
      </c>
    </row>
    <row r="367" spans="1:10">
      <c r="A367" s="39">
        <v>11421</v>
      </c>
      <c r="B367" s="37" t="s">
        <v>19</v>
      </c>
      <c r="C367" s="37" t="s">
        <v>404</v>
      </c>
      <c r="D367" s="38" t="str">
        <f>VLOOKUP(B367, Mapping!$A:$B, 2, FALSE)</f>
        <v>北部</v>
      </c>
      <c r="E367" s="38" t="str">
        <f>IFERROR(VLOOKUP(A367, '113_Faraway'!$A:$C, 3,FALSE),"非偏遠")</f>
        <v>非偏遠</v>
      </c>
      <c r="F367" s="33">
        <f>VLOOKUP(A367, '111_Raw'!$B:$D,3,FALSE)</f>
        <v>211</v>
      </c>
      <c r="G367" s="33">
        <f>VLOOKUP(A367, '113_Raw'!$B:$D,3,FALSE)</f>
        <v>0</v>
      </c>
      <c r="H367" s="35">
        <f t="shared" si="16"/>
        <v>-1</v>
      </c>
      <c r="I367" s="38" t="str">
        <f t="shared" si="15"/>
        <v>明顯下降</v>
      </c>
      <c r="J367" s="32" t="b">
        <f t="shared" si="17"/>
        <v>1</v>
      </c>
    </row>
    <row r="368" spans="1:10">
      <c r="A368" s="39">
        <v>11426</v>
      </c>
      <c r="B368" s="37" t="s">
        <v>19</v>
      </c>
      <c r="C368" s="37" t="s">
        <v>405</v>
      </c>
      <c r="D368" s="38" t="str">
        <f>VLOOKUP(B368, Mapping!$A:$B, 2, FALSE)</f>
        <v>北部</v>
      </c>
      <c r="E368" s="38" t="str">
        <f>IFERROR(VLOOKUP(A368, '113_Faraway'!$A:$C, 3,FALSE),"非偏遠")</f>
        <v>非偏遠</v>
      </c>
      <c r="F368" s="33">
        <f>VLOOKUP(A368, '111_Raw'!$B:$D,3,FALSE)</f>
        <v>1342</v>
      </c>
      <c r="G368" s="33">
        <f>VLOOKUP(A368, '113_Raw'!$B:$D,3,FALSE)</f>
        <v>1029</v>
      </c>
      <c r="H368" s="35">
        <f t="shared" si="16"/>
        <v>-0.23300000000000001</v>
      </c>
      <c r="I368" s="38" t="str">
        <f t="shared" si="15"/>
        <v>明顯下降</v>
      </c>
      <c r="J368" s="32" t="b">
        <f t="shared" si="17"/>
        <v>1</v>
      </c>
    </row>
    <row r="369" spans="1:10">
      <c r="A369" s="39">
        <v>11427</v>
      </c>
      <c r="B369" s="37" t="s">
        <v>19</v>
      </c>
      <c r="C369" s="37" t="s">
        <v>406</v>
      </c>
      <c r="D369" s="38" t="str">
        <f>VLOOKUP(B369, Mapping!$A:$B, 2, FALSE)</f>
        <v>北部</v>
      </c>
      <c r="E369" s="38" t="str">
        <f>IFERROR(VLOOKUP(A369, '113_Faraway'!$A:$C, 3,FALSE),"非偏遠")</f>
        <v>非偏遠</v>
      </c>
      <c r="F369" s="33">
        <f>VLOOKUP(A369, '111_Raw'!$B:$D,3,FALSE)</f>
        <v>617</v>
      </c>
      <c r="G369" s="33">
        <f>VLOOKUP(A369, '113_Raw'!$B:$D,3,FALSE)</f>
        <v>499</v>
      </c>
      <c r="H369" s="35">
        <f t="shared" si="16"/>
        <v>-0.191</v>
      </c>
      <c r="I369" s="38" t="str">
        <f t="shared" si="15"/>
        <v>明顯下降</v>
      </c>
      <c r="J369" s="32" t="b">
        <f t="shared" si="17"/>
        <v>1</v>
      </c>
    </row>
    <row r="370" spans="1:10">
      <c r="A370" s="39">
        <v>11431</v>
      </c>
      <c r="B370" s="37" t="s">
        <v>19</v>
      </c>
      <c r="C370" s="37" t="s">
        <v>407</v>
      </c>
      <c r="D370" s="38" t="str">
        <f>VLOOKUP(B370, Mapping!$A:$B, 2, FALSE)</f>
        <v>北部</v>
      </c>
      <c r="E370" s="38" t="str">
        <f>IFERROR(VLOOKUP(A370, '113_Faraway'!$A:$C, 3,FALSE),"非偏遠")</f>
        <v>非偏遠</v>
      </c>
      <c r="F370" s="33">
        <f>VLOOKUP(A370, '111_Raw'!$B:$D,3,FALSE)</f>
        <v>5530</v>
      </c>
      <c r="G370" s="33">
        <f>VLOOKUP(A370, '113_Raw'!$B:$D,3,FALSE)</f>
        <v>5733</v>
      </c>
      <c r="H370" s="35">
        <f t="shared" si="16"/>
        <v>3.6999999999999998E-2</v>
      </c>
      <c r="I370" s="38" t="str">
        <f t="shared" si="15"/>
        <v>穩定或成長</v>
      </c>
      <c r="J370" s="32" t="b">
        <f t="shared" si="17"/>
        <v>0</v>
      </c>
    </row>
    <row r="371" spans="1:10">
      <c r="A371" s="39">
        <v>11432</v>
      </c>
      <c r="B371" s="37" t="s">
        <v>19</v>
      </c>
      <c r="C371" s="37" t="s">
        <v>408</v>
      </c>
      <c r="D371" s="38" t="str">
        <f>VLOOKUP(B371, Mapping!$A:$B, 2, FALSE)</f>
        <v>北部</v>
      </c>
      <c r="E371" s="38" t="str">
        <f>IFERROR(VLOOKUP(A371, '113_Faraway'!$A:$C, 3,FALSE),"非偏遠")</f>
        <v>非偏遠</v>
      </c>
      <c r="F371" s="33">
        <f>VLOOKUP(A371, '111_Raw'!$B:$D,3,FALSE)</f>
        <v>101</v>
      </c>
      <c r="G371" s="33">
        <f>VLOOKUP(A371, '113_Raw'!$B:$D,3,FALSE)</f>
        <v>106</v>
      </c>
      <c r="H371" s="35">
        <f t="shared" si="16"/>
        <v>0.05</v>
      </c>
      <c r="I371" s="38" t="str">
        <f t="shared" si="15"/>
        <v>穩定或成長</v>
      </c>
      <c r="J371" s="32" t="b">
        <f t="shared" si="17"/>
        <v>0</v>
      </c>
    </row>
    <row r="372" spans="1:10">
      <c r="A372" s="39">
        <v>13402</v>
      </c>
      <c r="B372" s="37" t="s">
        <v>19</v>
      </c>
      <c r="C372" s="37" t="s">
        <v>409</v>
      </c>
      <c r="D372" s="38" t="str">
        <f>VLOOKUP(B372, Mapping!$A:$B, 2, FALSE)</f>
        <v>北部</v>
      </c>
      <c r="E372" s="38" t="str">
        <f>IFERROR(VLOOKUP(A372, '113_Faraway'!$A:$C, 3,FALSE),"非偏遠")</f>
        <v>非偏遠</v>
      </c>
      <c r="F372" s="33">
        <f>VLOOKUP(A372, '111_Raw'!$B:$D,3,FALSE)</f>
        <v>938</v>
      </c>
      <c r="G372" s="33">
        <f>VLOOKUP(A372, '113_Raw'!$B:$D,3,FALSE)</f>
        <v>877</v>
      </c>
      <c r="H372" s="35">
        <f t="shared" si="16"/>
        <v>-6.5000000000000002E-2</v>
      </c>
      <c r="I372" s="38" t="str">
        <f t="shared" si="15"/>
        <v>明顯下降</v>
      </c>
      <c r="J372" s="32" t="b">
        <f t="shared" si="17"/>
        <v>1</v>
      </c>
    </row>
    <row r="373" spans="1:10">
      <c r="A373" s="39">
        <v>13430</v>
      </c>
      <c r="B373" s="37" t="s">
        <v>19</v>
      </c>
      <c r="C373" s="37" t="s">
        <v>410</v>
      </c>
      <c r="D373" s="38" t="str">
        <f>VLOOKUP(B373, Mapping!$A:$B, 2, FALSE)</f>
        <v>北部</v>
      </c>
      <c r="E373" s="38" t="str">
        <f>IFERROR(VLOOKUP(A373, '113_Faraway'!$A:$C, 3,FALSE),"非偏遠")</f>
        <v>非偏遠</v>
      </c>
      <c r="F373" s="33">
        <f>VLOOKUP(A373, '111_Raw'!$B:$D,3,FALSE)</f>
        <v>2223</v>
      </c>
      <c r="G373" s="33">
        <f>VLOOKUP(A373, '113_Raw'!$B:$D,3,FALSE)</f>
        <v>2131</v>
      </c>
      <c r="H373" s="35">
        <f t="shared" si="16"/>
        <v>-4.1000000000000002E-2</v>
      </c>
      <c r="I373" s="38" t="str">
        <f t="shared" si="15"/>
        <v>小幅下降</v>
      </c>
      <c r="J373" s="32" t="b">
        <f t="shared" si="17"/>
        <v>1</v>
      </c>
    </row>
    <row r="374" spans="1:10">
      <c r="A374" s="39">
        <v>13433</v>
      </c>
      <c r="B374" s="37" t="s">
        <v>19</v>
      </c>
      <c r="C374" s="37" t="s">
        <v>411</v>
      </c>
      <c r="D374" s="38" t="str">
        <f>VLOOKUP(B374, Mapping!$A:$B, 2, FALSE)</f>
        <v>北部</v>
      </c>
      <c r="E374" s="38" t="str">
        <f>IFERROR(VLOOKUP(A374, '113_Faraway'!$A:$C, 3,FALSE),"非偏遠")</f>
        <v>非偏遠</v>
      </c>
      <c r="F374" s="33">
        <f>VLOOKUP(A374, '111_Raw'!$B:$D,3,FALSE)</f>
        <v>2568</v>
      </c>
      <c r="G374" s="33">
        <f>VLOOKUP(A374, '113_Raw'!$B:$D,3,FALSE)</f>
        <v>2551</v>
      </c>
      <c r="H374" s="35">
        <f t="shared" si="16"/>
        <v>-7.0000000000000001E-3</v>
      </c>
      <c r="I374" s="38" t="str">
        <f t="shared" si="15"/>
        <v>小幅下降</v>
      </c>
      <c r="J374" s="32" t="b">
        <f t="shared" si="17"/>
        <v>0</v>
      </c>
    </row>
    <row r="375" spans="1:10">
      <c r="A375" s="39">
        <v>13434</v>
      </c>
      <c r="B375" s="37" t="s">
        <v>19</v>
      </c>
      <c r="C375" s="37" t="s">
        <v>412</v>
      </c>
      <c r="D375" s="38" t="str">
        <f>VLOOKUP(B375, Mapping!$A:$B, 2, FALSE)</f>
        <v>北部</v>
      </c>
      <c r="E375" s="38" t="str">
        <f>IFERROR(VLOOKUP(A375, '113_Faraway'!$A:$C, 3,FALSE),"非偏遠")</f>
        <v>非偏遠</v>
      </c>
      <c r="F375" s="33">
        <f>VLOOKUP(A375, '111_Raw'!$B:$D,3,FALSE)</f>
        <v>2283</v>
      </c>
      <c r="G375" s="33">
        <f>VLOOKUP(A375, '113_Raw'!$B:$D,3,FALSE)</f>
        <v>1975</v>
      </c>
      <c r="H375" s="35">
        <f t="shared" si="16"/>
        <v>-0.13500000000000001</v>
      </c>
      <c r="I375" s="38" t="str">
        <f t="shared" si="15"/>
        <v>明顯下降</v>
      </c>
      <c r="J375" s="32" t="b">
        <f t="shared" si="17"/>
        <v>1</v>
      </c>
    </row>
    <row r="376" spans="1:10">
      <c r="A376" s="39">
        <v>14439</v>
      </c>
      <c r="B376" s="37" t="s">
        <v>19</v>
      </c>
      <c r="C376" s="37" t="s">
        <v>413</v>
      </c>
      <c r="D376" s="38" t="str">
        <f>VLOOKUP(B376, Mapping!$A:$B, 2, FALSE)</f>
        <v>北部</v>
      </c>
      <c r="E376" s="38" t="str">
        <f>IFERROR(VLOOKUP(A376, '113_Faraway'!$A:$C, 3,FALSE),"非偏遠")</f>
        <v>非偏遠</v>
      </c>
      <c r="F376" s="33">
        <f>VLOOKUP(A376, '111_Raw'!$B:$D,3,FALSE)</f>
        <v>1860</v>
      </c>
      <c r="G376" s="33">
        <f>VLOOKUP(A376, '113_Raw'!$B:$D,3,FALSE)</f>
        <v>1822</v>
      </c>
      <c r="H376" s="35">
        <f t="shared" si="16"/>
        <v>-0.02</v>
      </c>
      <c r="I376" s="38" t="str">
        <f t="shared" si="15"/>
        <v>小幅下降</v>
      </c>
      <c r="J376" s="32" t="b">
        <f t="shared" si="17"/>
        <v>1</v>
      </c>
    </row>
    <row r="377" spans="1:10">
      <c r="A377" s="39">
        <v>14468</v>
      </c>
      <c r="B377" s="37" t="s">
        <v>19</v>
      </c>
      <c r="C377" s="37" t="s">
        <v>414</v>
      </c>
      <c r="D377" s="38" t="str">
        <f>VLOOKUP(B377, Mapping!$A:$B, 2, FALSE)</f>
        <v>北部</v>
      </c>
      <c r="E377" s="38" t="str">
        <f>IFERROR(VLOOKUP(A377, '113_Faraway'!$A:$C, 3,FALSE),"非偏遠")</f>
        <v>非偏遠</v>
      </c>
      <c r="F377" s="33">
        <f>VLOOKUP(A377, '111_Raw'!$B:$D,3,FALSE)</f>
        <v>447</v>
      </c>
      <c r="G377" s="33">
        <f>VLOOKUP(A377, '113_Raw'!$B:$D,3,FALSE)</f>
        <v>434</v>
      </c>
      <c r="H377" s="35">
        <f t="shared" si="16"/>
        <v>-2.9000000000000001E-2</v>
      </c>
      <c r="I377" s="38" t="str">
        <f t="shared" si="15"/>
        <v>小幅下降</v>
      </c>
      <c r="J377" s="32" t="b">
        <f t="shared" si="17"/>
        <v>1</v>
      </c>
    </row>
    <row r="378" spans="1:10">
      <c r="A378" s="39">
        <v>20403</v>
      </c>
      <c r="B378" s="37" t="s">
        <v>20</v>
      </c>
      <c r="C378" s="37" t="s">
        <v>415</v>
      </c>
      <c r="D378" s="38" t="str">
        <f>VLOOKUP(B378, Mapping!$A:$B, 2, FALSE)</f>
        <v>北部</v>
      </c>
      <c r="E378" s="38" t="str">
        <f>IFERROR(VLOOKUP(A378, '113_Faraway'!$A:$C, 3,FALSE),"非偏遠")</f>
        <v>非偏遠</v>
      </c>
      <c r="F378" s="33">
        <f>VLOOKUP(A378, '111_Raw'!$B:$D,3,FALSE)</f>
        <v>1493</v>
      </c>
      <c r="G378" s="33">
        <f>VLOOKUP(A378, '113_Raw'!$B:$D,3,FALSE)</f>
        <v>1425</v>
      </c>
      <c r="H378" s="35">
        <f t="shared" si="16"/>
        <v>-4.5999999999999999E-2</v>
      </c>
      <c r="I378" s="38" t="str">
        <f t="shared" si="15"/>
        <v>小幅下降</v>
      </c>
      <c r="J378" s="32" t="b">
        <f t="shared" si="17"/>
        <v>1</v>
      </c>
    </row>
    <row r="379" spans="1:10">
      <c r="A379" s="39">
        <v>20404</v>
      </c>
      <c r="B379" s="37" t="s">
        <v>20</v>
      </c>
      <c r="C379" s="37" t="s">
        <v>416</v>
      </c>
      <c r="D379" s="38" t="str">
        <f>VLOOKUP(B379, Mapping!$A:$B, 2, FALSE)</f>
        <v>北部</v>
      </c>
      <c r="E379" s="38" t="str">
        <f>IFERROR(VLOOKUP(A379, '113_Faraway'!$A:$C, 3,FALSE),"非偏遠")</f>
        <v>非偏遠</v>
      </c>
      <c r="F379" s="33">
        <f>VLOOKUP(A379, '111_Raw'!$B:$D,3,FALSE)</f>
        <v>1333</v>
      </c>
      <c r="G379" s="33">
        <f>VLOOKUP(A379, '113_Raw'!$B:$D,3,FALSE)</f>
        <v>1219</v>
      </c>
      <c r="H379" s="35">
        <f t="shared" si="16"/>
        <v>-8.5999999999999993E-2</v>
      </c>
      <c r="I379" s="38" t="str">
        <f t="shared" si="15"/>
        <v>明顯下降</v>
      </c>
      <c r="J379" s="32" t="b">
        <f t="shared" si="17"/>
        <v>1</v>
      </c>
    </row>
    <row r="380" spans="1:10">
      <c r="A380" s="39">
        <v>20405</v>
      </c>
      <c r="B380" s="37" t="s">
        <v>20</v>
      </c>
      <c r="C380" s="37" t="s">
        <v>417</v>
      </c>
      <c r="D380" s="38" t="str">
        <f>VLOOKUP(B380, Mapping!$A:$B, 2, FALSE)</f>
        <v>北部</v>
      </c>
      <c r="E380" s="38" t="str">
        <f>IFERROR(VLOOKUP(A380, '113_Faraway'!$A:$C, 3,FALSE),"非偏遠")</f>
        <v>非偏遠</v>
      </c>
      <c r="F380" s="33">
        <f>VLOOKUP(A380, '111_Raw'!$B:$D,3,FALSE)</f>
        <v>415</v>
      </c>
      <c r="G380" s="33">
        <f>VLOOKUP(A380, '113_Raw'!$B:$D,3,FALSE)</f>
        <v>330</v>
      </c>
      <c r="H380" s="35">
        <f t="shared" si="16"/>
        <v>-0.20499999999999999</v>
      </c>
      <c r="I380" s="38" t="str">
        <f t="shared" si="15"/>
        <v>明顯下降</v>
      </c>
      <c r="J380" s="32" t="b">
        <f t="shared" si="17"/>
        <v>1</v>
      </c>
    </row>
    <row r="381" spans="1:10">
      <c r="A381" s="39">
        <v>20407</v>
      </c>
      <c r="B381" s="37" t="s">
        <v>20</v>
      </c>
      <c r="C381" s="37" t="s">
        <v>418</v>
      </c>
      <c r="D381" s="38" t="str">
        <f>VLOOKUP(B381, Mapping!$A:$B, 2, FALSE)</f>
        <v>北部</v>
      </c>
      <c r="E381" s="38" t="str">
        <f>IFERROR(VLOOKUP(A381, '113_Faraway'!$A:$C, 3,FALSE),"非偏遠")</f>
        <v>非偏遠</v>
      </c>
      <c r="F381" s="33">
        <f>VLOOKUP(A381, '111_Raw'!$B:$D,3,FALSE)</f>
        <v>1372</v>
      </c>
      <c r="G381" s="33">
        <f>VLOOKUP(A381, '113_Raw'!$B:$D,3,FALSE)</f>
        <v>1218</v>
      </c>
      <c r="H381" s="35">
        <f t="shared" si="16"/>
        <v>-0.112</v>
      </c>
      <c r="I381" s="38" t="str">
        <f t="shared" si="15"/>
        <v>明顯下降</v>
      </c>
      <c r="J381" s="32" t="b">
        <f t="shared" si="17"/>
        <v>1</v>
      </c>
    </row>
    <row r="382" spans="1:10">
      <c r="A382" s="39">
        <v>20409</v>
      </c>
      <c r="B382" s="37" t="s">
        <v>20</v>
      </c>
      <c r="C382" s="37" t="s">
        <v>419</v>
      </c>
      <c r="D382" s="38" t="str">
        <f>VLOOKUP(B382, Mapping!$A:$B, 2, FALSE)</f>
        <v>北部</v>
      </c>
      <c r="E382" s="38" t="str">
        <f>IFERROR(VLOOKUP(A382, '113_Faraway'!$A:$C, 3,FALSE),"非偏遠")</f>
        <v>非偏遠</v>
      </c>
      <c r="F382" s="33">
        <f>VLOOKUP(A382, '111_Raw'!$B:$D,3,FALSE)</f>
        <v>836</v>
      </c>
      <c r="G382" s="33">
        <f>VLOOKUP(A382, '113_Raw'!$B:$D,3,FALSE)</f>
        <v>679</v>
      </c>
      <c r="H382" s="35">
        <f t="shared" si="16"/>
        <v>-0.188</v>
      </c>
      <c r="I382" s="38" t="str">
        <f t="shared" ref="I382:I445" si="18">IF(H382&gt;=0,"穩定或成長",IF(H382&gt;-0.05,"小幅下降","明顯下降"))</f>
        <v>明顯下降</v>
      </c>
      <c r="J382" s="32" t="b">
        <f t="shared" si="17"/>
        <v>1</v>
      </c>
    </row>
    <row r="383" spans="1:10">
      <c r="A383" s="39">
        <v>30403</v>
      </c>
      <c r="B383" s="37" t="s">
        <v>21</v>
      </c>
      <c r="C383" s="37" t="s">
        <v>420</v>
      </c>
      <c r="D383" s="38" t="str">
        <f>VLOOKUP(B383, Mapping!$A:$B, 2, FALSE)</f>
        <v>北部</v>
      </c>
      <c r="E383" s="38" t="str">
        <f>IFERROR(VLOOKUP(A383, '113_Faraway'!$A:$C, 3,FALSE),"非偏遠")</f>
        <v>非偏遠</v>
      </c>
      <c r="F383" s="33">
        <f>VLOOKUP(A383, '111_Raw'!$B:$D,3,FALSE)</f>
        <v>2445</v>
      </c>
      <c r="G383" s="33">
        <f>VLOOKUP(A383, '113_Raw'!$B:$D,3,FALSE)</f>
        <v>2453</v>
      </c>
      <c r="H383" s="35">
        <f t="shared" si="16"/>
        <v>3.0000000000000001E-3</v>
      </c>
      <c r="I383" s="38" t="str">
        <f t="shared" si="18"/>
        <v>穩定或成長</v>
      </c>
      <c r="J383" s="32" t="b">
        <f t="shared" si="17"/>
        <v>0</v>
      </c>
    </row>
    <row r="384" spans="1:10">
      <c r="A384" s="39">
        <v>31414</v>
      </c>
      <c r="B384" s="37" t="s">
        <v>21</v>
      </c>
      <c r="C384" s="37" t="s">
        <v>621</v>
      </c>
      <c r="D384" s="38" t="str">
        <f>VLOOKUP(B384, Mapping!$A:$B, 2, FALSE)</f>
        <v>北部</v>
      </c>
      <c r="E384" s="38" t="str">
        <f>IFERROR(VLOOKUP(A384, '113_Faraway'!$A:$C, 3,FALSE),"非偏遠")</f>
        <v>非偏遠</v>
      </c>
      <c r="F384" s="33">
        <f>VLOOKUP(A384, '111_Raw'!$B:$D,3,FALSE)</f>
        <v>954</v>
      </c>
      <c r="G384" s="33">
        <f>VLOOKUP(A384, '113_Raw'!$B:$D,3,FALSE)</f>
        <v>1113</v>
      </c>
      <c r="H384" s="35">
        <f t="shared" si="16"/>
        <v>0.16700000000000001</v>
      </c>
      <c r="I384" s="38" t="str">
        <f t="shared" si="18"/>
        <v>穩定或成長</v>
      </c>
      <c r="J384" s="32" t="b">
        <f t="shared" si="17"/>
        <v>0</v>
      </c>
    </row>
    <row r="385" spans="1:10">
      <c r="A385" s="39">
        <v>31415</v>
      </c>
      <c r="B385" s="37" t="s">
        <v>21</v>
      </c>
      <c r="C385" s="37" t="s">
        <v>422</v>
      </c>
      <c r="D385" s="38" t="str">
        <f>VLOOKUP(B385, Mapping!$A:$B, 2, FALSE)</f>
        <v>北部</v>
      </c>
      <c r="E385" s="38" t="str">
        <f>IFERROR(VLOOKUP(A385, '113_Faraway'!$A:$C, 3,FALSE),"非偏遠")</f>
        <v>非偏遠</v>
      </c>
      <c r="F385" s="33">
        <f>VLOOKUP(A385, '111_Raw'!$B:$D,3,FALSE)</f>
        <v>227</v>
      </c>
      <c r="G385" s="33">
        <f>VLOOKUP(A385, '113_Raw'!$B:$D,3,FALSE)</f>
        <v>116</v>
      </c>
      <c r="H385" s="35">
        <f t="shared" si="16"/>
        <v>-0.48899999999999999</v>
      </c>
      <c r="I385" s="38" t="str">
        <f t="shared" si="18"/>
        <v>明顯下降</v>
      </c>
      <c r="J385" s="32" t="b">
        <f t="shared" si="17"/>
        <v>1</v>
      </c>
    </row>
    <row r="386" spans="1:10">
      <c r="A386" s="39">
        <v>31421</v>
      </c>
      <c r="B386" s="37" t="s">
        <v>21</v>
      </c>
      <c r="C386" s="37" t="s">
        <v>423</v>
      </c>
      <c r="D386" s="38" t="str">
        <f>VLOOKUP(B386, Mapping!$A:$B, 2, FALSE)</f>
        <v>北部</v>
      </c>
      <c r="E386" s="38" t="str">
        <f>IFERROR(VLOOKUP(A386, '113_Faraway'!$A:$C, 3,FALSE),"非偏遠")</f>
        <v>非偏遠</v>
      </c>
      <c r="F386" s="33">
        <f>VLOOKUP(A386, '111_Raw'!$B:$D,3,FALSE)</f>
        <v>3892</v>
      </c>
      <c r="G386" s="33">
        <f>VLOOKUP(A386, '113_Raw'!$B:$D,3,FALSE)</f>
        <v>3665</v>
      </c>
      <c r="H386" s="35">
        <f t="shared" si="16"/>
        <v>-5.8000000000000003E-2</v>
      </c>
      <c r="I386" s="38" t="str">
        <f t="shared" si="18"/>
        <v>明顯下降</v>
      </c>
      <c r="J386" s="32" t="b">
        <f t="shared" si="17"/>
        <v>1</v>
      </c>
    </row>
    <row r="387" spans="1:10">
      <c r="A387" s="39">
        <v>33407</v>
      </c>
      <c r="B387" s="37" t="s">
        <v>21</v>
      </c>
      <c r="C387" s="37" t="s">
        <v>424</v>
      </c>
      <c r="D387" s="38" t="str">
        <f>VLOOKUP(B387, Mapping!$A:$B, 2, FALSE)</f>
        <v>北部</v>
      </c>
      <c r="E387" s="38" t="str">
        <f>IFERROR(VLOOKUP(A387, '113_Faraway'!$A:$C, 3,FALSE),"非偏遠")</f>
        <v>非偏遠</v>
      </c>
      <c r="F387" s="33">
        <f>VLOOKUP(A387, '111_Raw'!$B:$D,3,FALSE)</f>
        <v>1854</v>
      </c>
      <c r="G387" s="33">
        <f>VLOOKUP(A387, '113_Raw'!$B:$D,3,FALSE)</f>
        <v>1897</v>
      </c>
      <c r="H387" s="35">
        <f t="shared" ref="H387:H450" si="19">ROUND((G387-F387)/F387,3)</f>
        <v>2.3E-2</v>
      </c>
      <c r="I387" s="38" t="str">
        <f t="shared" si="18"/>
        <v>穩定或成長</v>
      </c>
      <c r="J387" s="32" t="b">
        <f t="shared" ref="J387:J450" si="20">IF(H387 &lt; $K$2, TRUE, FALSE)</f>
        <v>0</v>
      </c>
    </row>
    <row r="388" spans="1:10">
      <c r="A388" s="39">
        <v>33408</v>
      </c>
      <c r="B388" s="37" t="s">
        <v>21</v>
      </c>
      <c r="C388" s="37" t="s">
        <v>425</v>
      </c>
      <c r="D388" s="38" t="str">
        <f>VLOOKUP(B388, Mapping!$A:$B, 2, FALSE)</f>
        <v>北部</v>
      </c>
      <c r="E388" s="38" t="str">
        <f>IFERROR(VLOOKUP(A388, '113_Faraway'!$A:$C, 3,FALSE),"非偏遠")</f>
        <v>非偏遠</v>
      </c>
      <c r="F388" s="33">
        <f>VLOOKUP(A388, '111_Raw'!$B:$D,3,FALSE)</f>
        <v>939</v>
      </c>
      <c r="G388" s="33">
        <f>VLOOKUP(A388, '113_Raw'!$B:$D,3,FALSE)</f>
        <v>1005</v>
      </c>
      <c r="H388" s="35">
        <f t="shared" si="19"/>
        <v>7.0000000000000007E-2</v>
      </c>
      <c r="I388" s="38" t="str">
        <f t="shared" si="18"/>
        <v>穩定或成長</v>
      </c>
      <c r="J388" s="32" t="b">
        <f t="shared" si="20"/>
        <v>0</v>
      </c>
    </row>
    <row r="389" spans="1:10">
      <c r="A389" s="39">
        <v>41401</v>
      </c>
      <c r="B389" s="37" t="s">
        <v>22</v>
      </c>
      <c r="C389" s="37" t="s">
        <v>426</v>
      </c>
      <c r="D389" s="38" t="str">
        <f>VLOOKUP(B389, Mapping!$A:$B, 2, FALSE)</f>
        <v>北部</v>
      </c>
      <c r="E389" s="38" t="str">
        <f>IFERROR(VLOOKUP(A389, '113_Faraway'!$A:$C, 3,FALSE),"非偏遠")</f>
        <v>非偏遠</v>
      </c>
      <c r="F389" s="33">
        <f>VLOOKUP(A389, '111_Raw'!$B:$D,3,FALSE)</f>
        <v>1074</v>
      </c>
      <c r="G389" s="33">
        <f>VLOOKUP(A389, '113_Raw'!$B:$D,3,FALSE)</f>
        <v>1089</v>
      </c>
      <c r="H389" s="35">
        <f t="shared" si="19"/>
        <v>1.4E-2</v>
      </c>
      <c r="I389" s="38" t="str">
        <f t="shared" si="18"/>
        <v>穩定或成長</v>
      </c>
      <c r="J389" s="32" t="b">
        <f t="shared" si="20"/>
        <v>0</v>
      </c>
    </row>
    <row r="390" spans="1:10">
      <c r="A390" s="39">
        <v>50401</v>
      </c>
      <c r="B390" s="37" t="s">
        <v>23</v>
      </c>
      <c r="C390" s="37" t="s">
        <v>427</v>
      </c>
      <c r="D390" s="38" t="str">
        <f>VLOOKUP(B390, Mapping!$A:$B, 2, FALSE)</f>
        <v>中部</v>
      </c>
      <c r="E390" s="38" t="str">
        <f>IFERROR(VLOOKUP(A390, '113_Faraway'!$A:$C, 3,FALSE),"非偏遠")</f>
        <v>偏遠</v>
      </c>
      <c r="F390" s="33">
        <f>VLOOKUP(A390, '111_Raw'!$B:$D,3,FALSE)</f>
        <v>598</v>
      </c>
      <c r="G390" s="33">
        <f>VLOOKUP(A390, '113_Raw'!$B:$D,3,FALSE)</f>
        <v>490</v>
      </c>
      <c r="H390" s="35">
        <f t="shared" si="19"/>
        <v>-0.18099999999999999</v>
      </c>
      <c r="I390" s="38" t="str">
        <f t="shared" si="18"/>
        <v>明顯下降</v>
      </c>
      <c r="J390" s="32" t="b">
        <f t="shared" si="20"/>
        <v>1</v>
      </c>
    </row>
    <row r="391" spans="1:10">
      <c r="A391" s="39">
        <v>50404</v>
      </c>
      <c r="B391" s="37" t="s">
        <v>23</v>
      </c>
      <c r="C391" s="37" t="s">
        <v>428</v>
      </c>
      <c r="D391" s="38" t="str">
        <f>VLOOKUP(B391, Mapping!$A:$B, 2, FALSE)</f>
        <v>中部</v>
      </c>
      <c r="E391" s="38" t="str">
        <f>IFERROR(VLOOKUP(A391, '113_Faraway'!$A:$C, 3,FALSE),"非偏遠")</f>
        <v>非偏遠</v>
      </c>
      <c r="F391" s="33">
        <f>VLOOKUP(A391, '111_Raw'!$B:$D,3,FALSE)</f>
        <v>1803</v>
      </c>
      <c r="G391" s="33">
        <f>VLOOKUP(A391, '113_Raw'!$B:$D,3,FALSE)</f>
        <v>1763</v>
      </c>
      <c r="H391" s="35">
        <f t="shared" si="19"/>
        <v>-2.1999999999999999E-2</v>
      </c>
      <c r="I391" s="38" t="str">
        <f t="shared" si="18"/>
        <v>小幅下降</v>
      </c>
      <c r="J391" s="32" t="b">
        <f t="shared" si="20"/>
        <v>1</v>
      </c>
    </row>
    <row r="392" spans="1:10">
      <c r="A392" s="39">
        <v>50407</v>
      </c>
      <c r="B392" s="37" t="s">
        <v>23</v>
      </c>
      <c r="C392" s="37" t="s">
        <v>429</v>
      </c>
      <c r="D392" s="38" t="str">
        <f>VLOOKUP(B392, Mapping!$A:$B, 2, FALSE)</f>
        <v>中部</v>
      </c>
      <c r="E392" s="38" t="str">
        <f>IFERROR(VLOOKUP(A392, '113_Faraway'!$A:$C, 3,FALSE),"非偏遠")</f>
        <v>非偏遠</v>
      </c>
      <c r="F392" s="33">
        <f>VLOOKUP(A392, '111_Raw'!$B:$D,3,FALSE)</f>
        <v>985</v>
      </c>
      <c r="G392" s="33">
        <f>VLOOKUP(A392, '113_Raw'!$B:$D,3,FALSE)</f>
        <v>957</v>
      </c>
      <c r="H392" s="35">
        <f t="shared" si="19"/>
        <v>-2.8000000000000001E-2</v>
      </c>
      <c r="I392" s="38" t="str">
        <f t="shared" si="18"/>
        <v>小幅下降</v>
      </c>
      <c r="J392" s="32" t="b">
        <f t="shared" si="20"/>
        <v>1</v>
      </c>
    </row>
    <row r="393" spans="1:10">
      <c r="A393" s="39">
        <v>51408</v>
      </c>
      <c r="B393" s="37" t="s">
        <v>23</v>
      </c>
      <c r="C393" s="37" t="s">
        <v>430</v>
      </c>
      <c r="D393" s="38" t="str">
        <f>VLOOKUP(B393, Mapping!$A:$B, 2, FALSE)</f>
        <v>中部</v>
      </c>
      <c r="E393" s="38" t="str">
        <f>IFERROR(VLOOKUP(A393, '113_Faraway'!$A:$C, 3,FALSE),"非偏遠")</f>
        <v>非偏遠</v>
      </c>
      <c r="F393" s="33">
        <f>VLOOKUP(A393, '111_Raw'!$B:$D,3,FALSE)</f>
        <v>725</v>
      </c>
      <c r="G393" s="33">
        <f>VLOOKUP(A393, '113_Raw'!$B:$D,3,FALSE)</f>
        <v>607</v>
      </c>
      <c r="H393" s="35">
        <f t="shared" si="19"/>
        <v>-0.16300000000000001</v>
      </c>
      <c r="I393" s="38" t="str">
        <f t="shared" si="18"/>
        <v>明顯下降</v>
      </c>
      <c r="J393" s="32" t="b">
        <f t="shared" si="20"/>
        <v>1</v>
      </c>
    </row>
    <row r="394" spans="1:10">
      <c r="A394" s="39">
        <v>51411</v>
      </c>
      <c r="B394" s="37" t="s">
        <v>23</v>
      </c>
      <c r="C394" s="37" t="s">
        <v>431</v>
      </c>
      <c r="D394" s="38" t="str">
        <f>VLOOKUP(B394, Mapping!$A:$B, 2, FALSE)</f>
        <v>中部</v>
      </c>
      <c r="E394" s="38" t="str">
        <f>IFERROR(VLOOKUP(A394, '113_Faraway'!$A:$C, 3,FALSE),"非偏遠")</f>
        <v>非偏遠</v>
      </c>
      <c r="F394" s="33">
        <f>VLOOKUP(A394, '111_Raw'!$B:$D,3,FALSE)</f>
        <v>89</v>
      </c>
      <c r="G394" s="33">
        <f>VLOOKUP(A394, '113_Raw'!$B:$D,3,FALSE)</f>
        <v>0</v>
      </c>
      <c r="H394" s="35">
        <f t="shared" si="19"/>
        <v>-1</v>
      </c>
      <c r="I394" s="38" t="str">
        <f t="shared" si="18"/>
        <v>明顯下降</v>
      </c>
      <c r="J394" s="32" t="b">
        <f t="shared" si="20"/>
        <v>1</v>
      </c>
    </row>
    <row r="395" spans="1:10">
      <c r="A395" s="39">
        <v>51413</v>
      </c>
      <c r="B395" s="37" t="s">
        <v>23</v>
      </c>
      <c r="C395" s="37" t="s">
        <v>433</v>
      </c>
      <c r="D395" s="38" t="str">
        <f>VLOOKUP(B395, Mapping!$A:$B, 2, FALSE)</f>
        <v>中部</v>
      </c>
      <c r="E395" s="38" t="str">
        <f>IFERROR(VLOOKUP(A395, '113_Faraway'!$A:$C, 3,FALSE),"非偏遠")</f>
        <v>非偏遠</v>
      </c>
      <c r="F395" s="33">
        <f>VLOOKUP(A395, '111_Raw'!$B:$D,3,FALSE)</f>
        <v>34</v>
      </c>
      <c r="G395" s="33">
        <f>VLOOKUP(A395, '113_Raw'!$B:$D,3,FALSE)</f>
        <v>113</v>
      </c>
      <c r="H395" s="35">
        <f t="shared" si="19"/>
        <v>2.3239999999999998</v>
      </c>
      <c r="I395" s="38" t="str">
        <f t="shared" si="18"/>
        <v>穩定或成長</v>
      </c>
      <c r="J395" s="32" t="b">
        <f t="shared" si="20"/>
        <v>0</v>
      </c>
    </row>
    <row r="396" spans="1:10">
      <c r="A396" s="39">
        <v>63401</v>
      </c>
      <c r="B396" s="37" t="s">
        <v>24</v>
      </c>
      <c r="C396" s="37" t="s">
        <v>434</v>
      </c>
      <c r="D396" s="38" t="str">
        <f>VLOOKUP(B396, Mapping!$A:$B, 2, FALSE)</f>
        <v>中部</v>
      </c>
      <c r="E396" s="38" t="str">
        <f>IFERROR(VLOOKUP(A396, '113_Faraway'!$A:$C, 3,FALSE),"非偏遠")</f>
        <v>非偏遠</v>
      </c>
      <c r="F396" s="33">
        <f>VLOOKUP(A396, '111_Raw'!$B:$D,3,FALSE)</f>
        <v>1576</v>
      </c>
      <c r="G396" s="33">
        <f>VLOOKUP(A396, '113_Raw'!$B:$D,3,FALSE)</f>
        <v>1538</v>
      </c>
      <c r="H396" s="35">
        <f t="shared" si="19"/>
        <v>-2.4E-2</v>
      </c>
      <c r="I396" s="38" t="str">
        <f t="shared" si="18"/>
        <v>小幅下降</v>
      </c>
      <c r="J396" s="32" t="b">
        <f t="shared" si="20"/>
        <v>1</v>
      </c>
    </row>
    <row r="397" spans="1:10">
      <c r="A397" s="39">
        <v>63402</v>
      </c>
      <c r="B397" s="37" t="s">
        <v>24</v>
      </c>
      <c r="C397" s="37" t="s">
        <v>435</v>
      </c>
      <c r="D397" s="38" t="str">
        <f>VLOOKUP(B397, Mapping!$A:$B, 2, FALSE)</f>
        <v>中部</v>
      </c>
      <c r="E397" s="38" t="str">
        <f>IFERROR(VLOOKUP(A397, '113_Faraway'!$A:$C, 3,FALSE),"非偏遠")</f>
        <v>非偏遠</v>
      </c>
      <c r="F397" s="33">
        <f>VLOOKUP(A397, '111_Raw'!$B:$D,3,FALSE)</f>
        <v>1354</v>
      </c>
      <c r="G397" s="33">
        <f>VLOOKUP(A397, '113_Raw'!$B:$D,3,FALSE)</f>
        <v>1417</v>
      </c>
      <c r="H397" s="35">
        <f t="shared" si="19"/>
        <v>4.7E-2</v>
      </c>
      <c r="I397" s="38" t="str">
        <f t="shared" si="18"/>
        <v>穩定或成長</v>
      </c>
      <c r="J397" s="32" t="b">
        <f t="shared" si="20"/>
        <v>0</v>
      </c>
    </row>
    <row r="398" spans="1:10">
      <c r="A398" s="39">
        <v>63404</v>
      </c>
      <c r="B398" s="37" t="s">
        <v>24</v>
      </c>
      <c r="C398" s="37" t="s">
        <v>436</v>
      </c>
      <c r="D398" s="38" t="str">
        <f>VLOOKUP(B398, Mapping!$A:$B, 2, FALSE)</f>
        <v>中部</v>
      </c>
      <c r="E398" s="38" t="str">
        <f>IFERROR(VLOOKUP(A398, '113_Faraway'!$A:$C, 3,FALSE),"非偏遠")</f>
        <v>非偏遠</v>
      </c>
      <c r="F398" s="33">
        <f>VLOOKUP(A398, '111_Raw'!$B:$D,3,FALSE)</f>
        <v>1531</v>
      </c>
      <c r="G398" s="33">
        <f>VLOOKUP(A398, '113_Raw'!$B:$D,3,FALSE)</f>
        <v>1492</v>
      </c>
      <c r="H398" s="35">
        <f t="shared" si="19"/>
        <v>-2.5000000000000001E-2</v>
      </c>
      <c r="I398" s="38" t="str">
        <f t="shared" si="18"/>
        <v>小幅下降</v>
      </c>
      <c r="J398" s="32" t="b">
        <f t="shared" si="20"/>
        <v>1</v>
      </c>
    </row>
    <row r="399" spans="1:10">
      <c r="A399" s="39">
        <v>63407</v>
      </c>
      <c r="B399" s="37" t="s">
        <v>24</v>
      </c>
      <c r="C399" s="37" t="s">
        <v>437</v>
      </c>
      <c r="D399" s="38" t="str">
        <f>VLOOKUP(B399, Mapping!$A:$B, 2, FALSE)</f>
        <v>中部</v>
      </c>
      <c r="E399" s="38" t="str">
        <f>IFERROR(VLOOKUP(A399, '113_Faraway'!$A:$C, 3,FALSE),"非偏遠")</f>
        <v>非偏遠</v>
      </c>
      <c r="F399" s="33">
        <f>VLOOKUP(A399, '111_Raw'!$B:$D,3,FALSE)</f>
        <v>1789</v>
      </c>
      <c r="G399" s="33">
        <f>VLOOKUP(A399, '113_Raw'!$B:$D,3,FALSE)</f>
        <v>1799</v>
      </c>
      <c r="H399" s="35">
        <f t="shared" si="19"/>
        <v>6.0000000000000001E-3</v>
      </c>
      <c r="I399" s="38" t="str">
        <f t="shared" si="18"/>
        <v>穩定或成長</v>
      </c>
      <c r="J399" s="32" t="b">
        <f t="shared" si="20"/>
        <v>0</v>
      </c>
    </row>
    <row r="400" spans="1:10">
      <c r="A400" s="39">
        <v>63408</v>
      </c>
      <c r="B400" s="37" t="s">
        <v>24</v>
      </c>
      <c r="C400" s="37" t="s">
        <v>438</v>
      </c>
      <c r="D400" s="38" t="str">
        <f>VLOOKUP(B400, Mapping!$A:$B, 2, FALSE)</f>
        <v>中部</v>
      </c>
      <c r="E400" s="38" t="str">
        <f>IFERROR(VLOOKUP(A400, '113_Faraway'!$A:$C, 3,FALSE),"非偏遠")</f>
        <v>非偏遠</v>
      </c>
      <c r="F400" s="33">
        <f>VLOOKUP(A400, '111_Raw'!$B:$D,3,FALSE)</f>
        <v>1323</v>
      </c>
      <c r="G400" s="33">
        <f>VLOOKUP(A400, '113_Raw'!$B:$D,3,FALSE)</f>
        <v>1315</v>
      </c>
      <c r="H400" s="35">
        <f t="shared" si="19"/>
        <v>-6.0000000000000001E-3</v>
      </c>
      <c r="I400" s="38" t="str">
        <f t="shared" si="18"/>
        <v>小幅下降</v>
      </c>
      <c r="J400" s="32" t="b">
        <f t="shared" si="20"/>
        <v>0</v>
      </c>
    </row>
    <row r="401" spans="1:10">
      <c r="A401" s="39">
        <v>64406</v>
      </c>
      <c r="B401" s="37" t="s">
        <v>24</v>
      </c>
      <c r="C401" s="37" t="s">
        <v>439</v>
      </c>
      <c r="D401" s="38" t="str">
        <f>VLOOKUP(B401, Mapping!$A:$B, 2, FALSE)</f>
        <v>中部</v>
      </c>
      <c r="E401" s="38" t="str">
        <f>IFERROR(VLOOKUP(A401, '113_Faraway'!$A:$C, 3,FALSE),"非偏遠")</f>
        <v>非偏遠</v>
      </c>
      <c r="F401" s="33">
        <f>VLOOKUP(A401, '111_Raw'!$B:$D,3,FALSE)</f>
        <v>287</v>
      </c>
      <c r="G401" s="33">
        <f>VLOOKUP(A401, '113_Raw'!$B:$D,3,FALSE)</f>
        <v>299</v>
      </c>
      <c r="H401" s="35">
        <f t="shared" si="19"/>
        <v>4.2000000000000003E-2</v>
      </c>
      <c r="I401" s="38" t="str">
        <f t="shared" si="18"/>
        <v>穩定或成長</v>
      </c>
      <c r="J401" s="32" t="b">
        <f t="shared" si="20"/>
        <v>0</v>
      </c>
    </row>
    <row r="402" spans="1:10">
      <c r="A402" s="39">
        <v>70401</v>
      </c>
      <c r="B402" s="37" t="s">
        <v>25</v>
      </c>
      <c r="C402" s="37" t="s">
        <v>440</v>
      </c>
      <c r="D402" s="38" t="str">
        <f>VLOOKUP(B402, Mapping!$A:$B, 2, FALSE)</f>
        <v>中部</v>
      </c>
      <c r="E402" s="38" t="str">
        <f>IFERROR(VLOOKUP(A402, '113_Faraway'!$A:$C, 3,FALSE),"非偏遠")</f>
        <v>非偏遠</v>
      </c>
      <c r="F402" s="33">
        <f>VLOOKUP(A402, '111_Raw'!$B:$D,3,FALSE)</f>
        <v>2037</v>
      </c>
      <c r="G402" s="33">
        <f>VLOOKUP(A402, '113_Raw'!$B:$D,3,FALSE)</f>
        <v>1967</v>
      </c>
      <c r="H402" s="35">
        <f t="shared" si="19"/>
        <v>-3.4000000000000002E-2</v>
      </c>
      <c r="I402" s="38" t="str">
        <f t="shared" si="18"/>
        <v>小幅下降</v>
      </c>
      <c r="J402" s="32" t="b">
        <f t="shared" si="20"/>
        <v>1</v>
      </c>
    </row>
    <row r="403" spans="1:10">
      <c r="A403" s="39">
        <v>70402</v>
      </c>
      <c r="B403" s="37" t="s">
        <v>25</v>
      </c>
      <c r="C403" s="37" t="s">
        <v>441</v>
      </c>
      <c r="D403" s="38" t="str">
        <f>VLOOKUP(B403, Mapping!$A:$B, 2, FALSE)</f>
        <v>中部</v>
      </c>
      <c r="E403" s="38" t="str">
        <f>IFERROR(VLOOKUP(A403, '113_Faraway'!$A:$C, 3,FALSE),"非偏遠")</f>
        <v>非偏遠</v>
      </c>
      <c r="F403" s="33">
        <f>VLOOKUP(A403, '111_Raw'!$B:$D,3,FALSE)</f>
        <v>1148</v>
      </c>
      <c r="G403" s="33">
        <f>VLOOKUP(A403, '113_Raw'!$B:$D,3,FALSE)</f>
        <v>1150</v>
      </c>
      <c r="H403" s="35">
        <f t="shared" si="19"/>
        <v>2E-3</v>
      </c>
      <c r="I403" s="38" t="str">
        <f t="shared" si="18"/>
        <v>穩定或成長</v>
      </c>
      <c r="J403" s="32" t="b">
        <f t="shared" si="20"/>
        <v>0</v>
      </c>
    </row>
    <row r="404" spans="1:10">
      <c r="A404" s="39">
        <v>70403</v>
      </c>
      <c r="B404" s="37" t="s">
        <v>25</v>
      </c>
      <c r="C404" s="37" t="s">
        <v>442</v>
      </c>
      <c r="D404" s="38" t="str">
        <f>VLOOKUP(B404, Mapping!$A:$B, 2, FALSE)</f>
        <v>中部</v>
      </c>
      <c r="E404" s="38" t="str">
        <f>IFERROR(VLOOKUP(A404, '113_Faraway'!$A:$C, 3,FALSE),"非偏遠")</f>
        <v>非偏遠</v>
      </c>
      <c r="F404" s="33">
        <f>VLOOKUP(A404, '111_Raw'!$B:$D,3,FALSE)</f>
        <v>1226</v>
      </c>
      <c r="G404" s="33">
        <f>VLOOKUP(A404, '113_Raw'!$B:$D,3,FALSE)</f>
        <v>1071</v>
      </c>
      <c r="H404" s="35">
        <f t="shared" si="19"/>
        <v>-0.126</v>
      </c>
      <c r="I404" s="38" t="str">
        <f t="shared" si="18"/>
        <v>明顯下降</v>
      </c>
      <c r="J404" s="32" t="b">
        <f t="shared" si="20"/>
        <v>1</v>
      </c>
    </row>
    <row r="405" spans="1:10">
      <c r="A405" s="39">
        <v>70405</v>
      </c>
      <c r="B405" s="37" t="s">
        <v>25</v>
      </c>
      <c r="C405" s="37" t="s">
        <v>443</v>
      </c>
      <c r="D405" s="38" t="str">
        <f>VLOOKUP(B405, Mapping!$A:$B, 2, FALSE)</f>
        <v>中部</v>
      </c>
      <c r="E405" s="38" t="str">
        <f>IFERROR(VLOOKUP(A405, '113_Faraway'!$A:$C, 3,FALSE),"非偏遠")</f>
        <v>非偏遠</v>
      </c>
      <c r="F405" s="33">
        <f>VLOOKUP(A405, '111_Raw'!$B:$D,3,FALSE)</f>
        <v>1530</v>
      </c>
      <c r="G405" s="33">
        <f>VLOOKUP(A405, '113_Raw'!$B:$D,3,FALSE)</f>
        <v>1491</v>
      </c>
      <c r="H405" s="35">
        <f t="shared" si="19"/>
        <v>-2.5000000000000001E-2</v>
      </c>
      <c r="I405" s="38" t="str">
        <f t="shared" si="18"/>
        <v>小幅下降</v>
      </c>
      <c r="J405" s="32" t="b">
        <f t="shared" si="20"/>
        <v>1</v>
      </c>
    </row>
    <row r="406" spans="1:10">
      <c r="A406" s="39">
        <v>70406</v>
      </c>
      <c r="B406" s="37" t="s">
        <v>25</v>
      </c>
      <c r="C406" s="37" t="s">
        <v>444</v>
      </c>
      <c r="D406" s="38" t="str">
        <f>VLOOKUP(B406, Mapping!$A:$B, 2, FALSE)</f>
        <v>中部</v>
      </c>
      <c r="E406" s="38" t="str">
        <f>IFERROR(VLOOKUP(A406, '113_Faraway'!$A:$C, 3,FALSE),"非偏遠")</f>
        <v>非偏遠</v>
      </c>
      <c r="F406" s="33">
        <f>VLOOKUP(A406, '111_Raw'!$B:$D,3,FALSE)</f>
        <v>2006</v>
      </c>
      <c r="G406" s="33">
        <f>VLOOKUP(A406, '113_Raw'!$B:$D,3,FALSE)</f>
        <v>2007</v>
      </c>
      <c r="H406" s="35">
        <f t="shared" si="19"/>
        <v>0</v>
      </c>
      <c r="I406" s="38" t="str">
        <f t="shared" si="18"/>
        <v>穩定或成長</v>
      </c>
      <c r="J406" s="32" t="b">
        <f t="shared" si="20"/>
        <v>0</v>
      </c>
    </row>
    <row r="407" spans="1:10">
      <c r="A407" s="39">
        <v>70408</v>
      </c>
      <c r="B407" s="37" t="s">
        <v>25</v>
      </c>
      <c r="C407" s="37" t="s">
        <v>445</v>
      </c>
      <c r="D407" s="38" t="str">
        <f>VLOOKUP(B407, Mapping!$A:$B, 2, FALSE)</f>
        <v>中部</v>
      </c>
      <c r="E407" s="38" t="str">
        <f>IFERROR(VLOOKUP(A407, '113_Faraway'!$A:$C, 3,FALSE),"非偏遠")</f>
        <v>非偏遠</v>
      </c>
      <c r="F407" s="33">
        <f>VLOOKUP(A407, '111_Raw'!$B:$D,3,FALSE)</f>
        <v>1491</v>
      </c>
      <c r="G407" s="33">
        <f>VLOOKUP(A407, '113_Raw'!$B:$D,3,FALSE)</f>
        <v>1446</v>
      </c>
      <c r="H407" s="35">
        <f t="shared" si="19"/>
        <v>-0.03</v>
      </c>
      <c r="I407" s="38" t="str">
        <f t="shared" si="18"/>
        <v>小幅下降</v>
      </c>
      <c r="J407" s="32" t="b">
        <f t="shared" si="20"/>
        <v>1</v>
      </c>
    </row>
    <row r="408" spans="1:10">
      <c r="A408" s="39">
        <v>70409</v>
      </c>
      <c r="B408" s="37" t="s">
        <v>25</v>
      </c>
      <c r="C408" s="37" t="s">
        <v>446</v>
      </c>
      <c r="D408" s="38" t="str">
        <f>VLOOKUP(B408, Mapping!$A:$B, 2, FALSE)</f>
        <v>中部</v>
      </c>
      <c r="E408" s="38" t="str">
        <f>IFERROR(VLOOKUP(A408, '113_Faraway'!$A:$C, 3,FALSE),"非偏遠")</f>
        <v>非偏遠</v>
      </c>
      <c r="F408" s="33">
        <f>VLOOKUP(A408, '111_Raw'!$B:$D,3,FALSE)</f>
        <v>1167</v>
      </c>
      <c r="G408" s="33">
        <f>VLOOKUP(A408, '113_Raw'!$B:$D,3,FALSE)</f>
        <v>1099</v>
      </c>
      <c r="H408" s="35">
        <f t="shared" si="19"/>
        <v>-5.8000000000000003E-2</v>
      </c>
      <c r="I408" s="38" t="str">
        <f t="shared" si="18"/>
        <v>明顯下降</v>
      </c>
      <c r="J408" s="32" t="b">
        <f t="shared" si="20"/>
        <v>1</v>
      </c>
    </row>
    <row r="409" spans="1:10">
      <c r="A409" s="39">
        <v>70410</v>
      </c>
      <c r="B409" s="37" t="s">
        <v>25</v>
      </c>
      <c r="C409" s="37" t="s">
        <v>447</v>
      </c>
      <c r="D409" s="38" t="str">
        <f>VLOOKUP(B409, Mapping!$A:$B, 2, FALSE)</f>
        <v>中部</v>
      </c>
      <c r="E409" s="38" t="str">
        <f>IFERROR(VLOOKUP(A409, '113_Faraway'!$A:$C, 3,FALSE),"非偏遠")</f>
        <v>非偏遠</v>
      </c>
      <c r="F409" s="33">
        <f>VLOOKUP(A409, '111_Raw'!$B:$D,3,FALSE)</f>
        <v>1285</v>
      </c>
      <c r="G409" s="33">
        <f>VLOOKUP(A409, '113_Raw'!$B:$D,3,FALSE)</f>
        <v>1187</v>
      </c>
      <c r="H409" s="35">
        <f t="shared" si="19"/>
        <v>-7.5999999999999998E-2</v>
      </c>
      <c r="I409" s="38" t="str">
        <f t="shared" si="18"/>
        <v>明顯下降</v>
      </c>
      <c r="J409" s="32" t="b">
        <f t="shared" si="20"/>
        <v>1</v>
      </c>
    </row>
    <row r="410" spans="1:10">
      <c r="A410" s="39">
        <v>70415</v>
      </c>
      <c r="B410" s="37" t="s">
        <v>25</v>
      </c>
      <c r="C410" s="37" t="s">
        <v>448</v>
      </c>
      <c r="D410" s="38" t="str">
        <f>VLOOKUP(B410, Mapping!$A:$B, 2, FALSE)</f>
        <v>中部</v>
      </c>
      <c r="E410" s="38" t="str">
        <f>IFERROR(VLOOKUP(A410, '113_Faraway'!$A:$C, 3,FALSE),"非偏遠")</f>
        <v>非偏遠</v>
      </c>
      <c r="F410" s="33">
        <f>VLOOKUP(A410, '111_Raw'!$B:$D,3,FALSE)</f>
        <v>1412</v>
      </c>
      <c r="G410" s="33">
        <f>VLOOKUP(A410, '113_Raw'!$B:$D,3,FALSE)</f>
        <v>1400</v>
      </c>
      <c r="H410" s="35">
        <f t="shared" si="19"/>
        <v>-8.0000000000000002E-3</v>
      </c>
      <c r="I410" s="38" t="str">
        <f t="shared" si="18"/>
        <v>小幅下降</v>
      </c>
      <c r="J410" s="32" t="b">
        <f t="shared" si="20"/>
        <v>0</v>
      </c>
    </row>
    <row r="411" spans="1:10">
      <c r="A411" s="39">
        <v>71413</v>
      </c>
      <c r="B411" s="37" t="s">
        <v>25</v>
      </c>
      <c r="C411" s="37" t="s">
        <v>449</v>
      </c>
      <c r="D411" s="38" t="str">
        <f>VLOOKUP(B411, Mapping!$A:$B, 2, FALSE)</f>
        <v>中部</v>
      </c>
      <c r="E411" s="38" t="str">
        <f>IFERROR(VLOOKUP(A411, '113_Faraway'!$A:$C, 3,FALSE),"非偏遠")</f>
        <v>非偏遠</v>
      </c>
      <c r="F411" s="33">
        <f>VLOOKUP(A411, '111_Raw'!$B:$D,3,FALSE)</f>
        <v>657</v>
      </c>
      <c r="G411" s="33">
        <f>VLOOKUP(A411, '113_Raw'!$B:$D,3,FALSE)</f>
        <v>130</v>
      </c>
      <c r="H411" s="35">
        <f t="shared" si="19"/>
        <v>-0.80200000000000005</v>
      </c>
      <c r="I411" s="38" t="str">
        <f t="shared" si="18"/>
        <v>明顯下降</v>
      </c>
      <c r="J411" s="32" t="b">
        <f t="shared" si="20"/>
        <v>1</v>
      </c>
    </row>
    <row r="412" spans="1:10">
      <c r="A412" s="39">
        <v>71414</v>
      </c>
      <c r="B412" s="37" t="s">
        <v>25</v>
      </c>
      <c r="C412" s="37" t="s">
        <v>450</v>
      </c>
      <c r="D412" s="38" t="str">
        <f>VLOOKUP(B412, Mapping!$A:$B, 2, FALSE)</f>
        <v>中部</v>
      </c>
      <c r="E412" s="38" t="str">
        <f>IFERROR(VLOOKUP(A412, '113_Faraway'!$A:$C, 3,FALSE),"非偏遠")</f>
        <v>非偏遠</v>
      </c>
      <c r="F412" s="33">
        <f>VLOOKUP(A412, '111_Raw'!$B:$D,3,FALSE)</f>
        <v>2168</v>
      </c>
      <c r="G412" s="33">
        <f>VLOOKUP(A412, '113_Raw'!$B:$D,3,FALSE)</f>
        <v>1572</v>
      </c>
      <c r="H412" s="35">
        <f t="shared" si="19"/>
        <v>-0.27500000000000002</v>
      </c>
      <c r="I412" s="38" t="str">
        <f t="shared" si="18"/>
        <v>明顯下降</v>
      </c>
      <c r="J412" s="32" t="b">
        <f t="shared" si="20"/>
        <v>1</v>
      </c>
    </row>
    <row r="413" spans="1:10">
      <c r="A413" s="39">
        <v>80401</v>
      </c>
      <c r="B413" s="37" t="s">
        <v>26</v>
      </c>
      <c r="C413" s="37" t="s">
        <v>451</v>
      </c>
      <c r="D413" s="38" t="str">
        <f>VLOOKUP(B413, Mapping!$A:$B, 2, FALSE)</f>
        <v>中部</v>
      </c>
      <c r="E413" s="38" t="str">
        <f>IFERROR(VLOOKUP(A413, '113_Faraway'!$A:$C, 3,FALSE),"非偏遠")</f>
        <v>極偏</v>
      </c>
      <c r="F413" s="33">
        <f>VLOOKUP(A413, '111_Raw'!$B:$D,3,FALSE)</f>
        <v>186</v>
      </c>
      <c r="G413" s="33">
        <f>VLOOKUP(A413, '113_Raw'!$B:$D,3,FALSE)</f>
        <v>168</v>
      </c>
      <c r="H413" s="35">
        <f t="shared" si="19"/>
        <v>-9.7000000000000003E-2</v>
      </c>
      <c r="I413" s="38" t="str">
        <f t="shared" si="18"/>
        <v>明顯下降</v>
      </c>
      <c r="J413" s="32" t="b">
        <f t="shared" si="20"/>
        <v>1</v>
      </c>
    </row>
    <row r="414" spans="1:10">
      <c r="A414" s="39">
        <v>80403</v>
      </c>
      <c r="B414" s="37" t="s">
        <v>26</v>
      </c>
      <c r="C414" s="37" t="s">
        <v>452</v>
      </c>
      <c r="D414" s="38" t="str">
        <f>VLOOKUP(B414, Mapping!$A:$B, 2, FALSE)</f>
        <v>中部</v>
      </c>
      <c r="E414" s="38" t="str">
        <f>IFERROR(VLOOKUP(A414, '113_Faraway'!$A:$C, 3,FALSE),"非偏遠")</f>
        <v>非偏遠</v>
      </c>
      <c r="F414" s="33">
        <f>VLOOKUP(A414, '111_Raw'!$B:$D,3,FALSE)</f>
        <v>617</v>
      </c>
      <c r="G414" s="33">
        <f>VLOOKUP(A414, '113_Raw'!$B:$D,3,FALSE)</f>
        <v>560</v>
      </c>
      <c r="H414" s="35">
        <f t="shared" si="19"/>
        <v>-9.1999999999999998E-2</v>
      </c>
      <c r="I414" s="38" t="str">
        <f t="shared" si="18"/>
        <v>明顯下降</v>
      </c>
      <c r="J414" s="32" t="b">
        <f t="shared" si="20"/>
        <v>1</v>
      </c>
    </row>
    <row r="415" spans="1:10">
      <c r="A415" s="39">
        <v>80404</v>
      </c>
      <c r="B415" s="37" t="s">
        <v>26</v>
      </c>
      <c r="C415" s="37" t="s">
        <v>453</v>
      </c>
      <c r="D415" s="38" t="str">
        <f>VLOOKUP(B415, Mapping!$A:$B, 2, FALSE)</f>
        <v>中部</v>
      </c>
      <c r="E415" s="38" t="str">
        <f>IFERROR(VLOOKUP(A415, '113_Faraway'!$A:$C, 3,FALSE),"非偏遠")</f>
        <v>非偏遠</v>
      </c>
      <c r="F415" s="33">
        <f>VLOOKUP(A415, '111_Raw'!$B:$D,3,FALSE)</f>
        <v>631</v>
      </c>
      <c r="G415" s="33">
        <f>VLOOKUP(A415, '113_Raw'!$B:$D,3,FALSE)</f>
        <v>421</v>
      </c>
      <c r="H415" s="35">
        <f t="shared" si="19"/>
        <v>-0.33300000000000002</v>
      </c>
      <c r="I415" s="38" t="str">
        <f t="shared" si="18"/>
        <v>明顯下降</v>
      </c>
      <c r="J415" s="32" t="b">
        <f t="shared" si="20"/>
        <v>1</v>
      </c>
    </row>
    <row r="416" spans="1:10">
      <c r="A416" s="39">
        <v>80406</v>
      </c>
      <c r="B416" s="37" t="s">
        <v>26</v>
      </c>
      <c r="C416" s="37" t="s">
        <v>454</v>
      </c>
      <c r="D416" s="38" t="str">
        <f>VLOOKUP(B416, Mapping!$A:$B, 2, FALSE)</f>
        <v>中部</v>
      </c>
      <c r="E416" s="38" t="str">
        <f>IFERROR(VLOOKUP(A416, '113_Faraway'!$A:$C, 3,FALSE),"非偏遠")</f>
        <v>非偏遠</v>
      </c>
      <c r="F416" s="33">
        <f>VLOOKUP(A416, '111_Raw'!$B:$D,3,FALSE)</f>
        <v>1280</v>
      </c>
      <c r="G416" s="33">
        <f>VLOOKUP(A416, '113_Raw'!$B:$D,3,FALSE)</f>
        <v>1186</v>
      </c>
      <c r="H416" s="35">
        <f t="shared" si="19"/>
        <v>-7.2999999999999995E-2</v>
      </c>
      <c r="I416" s="38" t="str">
        <f t="shared" si="18"/>
        <v>明顯下降</v>
      </c>
      <c r="J416" s="32" t="b">
        <f t="shared" si="20"/>
        <v>1</v>
      </c>
    </row>
    <row r="417" spans="1:10">
      <c r="A417" s="39">
        <v>80410</v>
      </c>
      <c r="B417" s="37" t="s">
        <v>26</v>
      </c>
      <c r="C417" s="37" t="s">
        <v>455</v>
      </c>
      <c r="D417" s="38" t="str">
        <f>VLOOKUP(B417, Mapping!$A:$B, 2, FALSE)</f>
        <v>中部</v>
      </c>
      <c r="E417" s="38" t="str">
        <f>IFERROR(VLOOKUP(A417, '113_Faraway'!$A:$C, 3,FALSE),"非偏遠")</f>
        <v>非偏遠</v>
      </c>
      <c r="F417" s="33">
        <f>VLOOKUP(A417, '111_Raw'!$B:$D,3,FALSE)</f>
        <v>690</v>
      </c>
      <c r="G417" s="33">
        <f>VLOOKUP(A417, '113_Raw'!$B:$D,3,FALSE)</f>
        <v>586</v>
      </c>
      <c r="H417" s="35">
        <f t="shared" si="19"/>
        <v>-0.151</v>
      </c>
      <c r="I417" s="38" t="str">
        <f t="shared" si="18"/>
        <v>明顯下降</v>
      </c>
      <c r="J417" s="32" t="b">
        <f t="shared" si="20"/>
        <v>1</v>
      </c>
    </row>
    <row r="418" spans="1:10">
      <c r="A418" s="39">
        <v>81409</v>
      </c>
      <c r="B418" s="37" t="s">
        <v>26</v>
      </c>
      <c r="C418" s="37" t="s">
        <v>456</v>
      </c>
      <c r="D418" s="38" t="str">
        <f>VLOOKUP(B418, Mapping!$A:$B, 2, FALSE)</f>
        <v>中部</v>
      </c>
      <c r="E418" s="38" t="str">
        <f>IFERROR(VLOOKUP(A418, '113_Faraway'!$A:$C, 3,FALSE),"非偏遠")</f>
        <v>非偏遠</v>
      </c>
      <c r="F418" s="33">
        <f>VLOOKUP(A418, '111_Raw'!$B:$D,3,FALSE)</f>
        <v>636</v>
      </c>
      <c r="G418" s="33">
        <f>VLOOKUP(A418, '113_Raw'!$B:$D,3,FALSE)</f>
        <v>449</v>
      </c>
      <c r="H418" s="35">
        <f t="shared" si="19"/>
        <v>-0.29399999999999998</v>
      </c>
      <c r="I418" s="38" t="str">
        <f t="shared" si="18"/>
        <v>明顯下降</v>
      </c>
      <c r="J418" s="32" t="b">
        <f t="shared" si="20"/>
        <v>1</v>
      </c>
    </row>
    <row r="419" spans="1:10">
      <c r="A419" s="39">
        <v>90401</v>
      </c>
      <c r="B419" s="37" t="s">
        <v>27</v>
      </c>
      <c r="C419" s="37" t="s">
        <v>457</v>
      </c>
      <c r="D419" s="38" t="str">
        <f>VLOOKUP(B419, Mapping!$A:$B, 2, FALSE)</f>
        <v>中部</v>
      </c>
      <c r="E419" s="38" t="str">
        <f>IFERROR(VLOOKUP(A419, '113_Faraway'!$A:$C, 3,FALSE),"非偏遠")</f>
        <v>非偏遠</v>
      </c>
      <c r="F419" s="33">
        <f>VLOOKUP(A419, '111_Raw'!$B:$D,3,FALSE)</f>
        <v>1205</v>
      </c>
      <c r="G419" s="33">
        <f>VLOOKUP(A419, '113_Raw'!$B:$D,3,FALSE)</f>
        <v>1139</v>
      </c>
      <c r="H419" s="35">
        <f t="shared" si="19"/>
        <v>-5.5E-2</v>
      </c>
      <c r="I419" s="38" t="str">
        <f t="shared" si="18"/>
        <v>明顯下降</v>
      </c>
      <c r="J419" s="32" t="b">
        <f t="shared" si="20"/>
        <v>1</v>
      </c>
    </row>
    <row r="420" spans="1:10">
      <c r="A420" s="39">
        <v>90402</v>
      </c>
      <c r="B420" s="37" t="s">
        <v>27</v>
      </c>
      <c r="C420" s="37" t="s">
        <v>458</v>
      </c>
      <c r="D420" s="38" t="str">
        <f>VLOOKUP(B420, Mapping!$A:$B, 2, FALSE)</f>
        <v>中部</v>
      </c>
      <c r="E420" s="38" t="str">
        <f>IFERROR(VLOOKUP(A420, '113_Faraway'!$A:$C, 3,FALSE),"非偏遠")</f>
        <v>非偏遠</v>
      </c>
      <c r="F420" s="33">
        <f>VLOOKUP(A420, '111_Raw'!$B:$D,3,FALSE)</f>
        <v>1534</v>
      </c>
      <c r="G420" s="33">
        <f>VLOOKUP(A420, '113_Raw'!$B:$D,3,FALSE)</f>
        <v>1438</v>
      </c>
      <c r="H420" s="35">
        <f t="shared" si="19"/>
        <v>-6.3E-2</v>
      </c>
      <c r="I420" s="38" t="str">
        <f t="shared" si="18"/>
        <v>明顯下降</v>
      </c>
      <c r="J420" s="32" t="b">
        <f t="shared" si="20"/>
        <v>1</v>
      </c>
    </row>
    <row r="421" spans="1:10">
      <c r="A421" s="39">
        <v>90403</v>
      </c>
      <c r="B421" s="37" t="s">
        <v>27</v>
      </c>
      <c r="C421" s="37" t="s">
        <v>459</v>
      </c>
      <c r="D421" s="38" t="str">
        <f>VLOOKUP(B421, Mapping!$A:$B, 2, FALSE)</f>
        <v>中部</v>
      </c>
      <c r="E421" s="38" t="str">
        <f>IFERROR(VLOOKUP(A421, '113_Faraway'!$A:$C, 3,FALSE),"非偏遠")</f>
        <v>非偏遠</v>
      </c>
      <c r="F421" s="33">
        <f>VLOOKUP(A421, '111_Raw'!$B:$D,3,FALSE)</f>
        <v>995</v>
      </c>
      <c r="G421" s="33">
        <f>VLOOKUP(A421, '113_Raw'!$B:$D,3,FALSE)</f>
        <v>971</v>
      </c>
      <c r="H421" s="35">
        <f t="shared" si="19"/>
        <v>-2.4E-2</v>
      </c>
      <c r="I421" s="38" t="str">
        <f t="shared" si="18"/>
        <v>小幅下降</v>
      </c>
      <c r="J421" s="32" t="b">
        <f t="shared" si="20"/>
        <v>1</v>
      </c>
    </row>
    <row r="422" spans="1:10">
      <c r="A422" s="39">
        <v>90404</v>
      </c>
      <c r="B422" s="37" t="s">
        <v>27</v>
      </c>
      <c r="C422" s="37" t="s">
        <v>460</v>
      </c>
      <c r="D422" s="38" t="str">
        <f>VLOOKUP(B422, Mapping!$A:$B, 2, FALSE)</f>
        <v>中部</v>
      </c>
      <c r="E422" s="38" t="str">
        <f>IFERROR(VLOOKUP(A422, '113_Faraway'!$A:$C, 3,FALSE),"非偏遠")</f>
        <v>非偏遠</v>
      </c>
      <c r="F422" s="33">
        <f>VLOOKUP(A422, '111_Raw'!$B:$D,3,FALSE)</f>
        <v>824</v>
      </c>
      <c r="G422" s="33">
        <f>VLOOKUP(A422, '113_Raw'!$B:$D,3,FALSE)</f>
        <v>729</v>
      </c>
      <c r="H422" s="35">
        <f t="shared" si="19"/>
        <v>-0.115</v>
      </c>
      <c r="I422" s="38" t="str">
        <f t="shared" si="18"/>
        <v>明顯下降</v>
      </c>
      <c r="J422" s="32" t="b">
        <f t="shared" si="20"/>
        <v>1</v>
      </c>
    </row>
    <row r="423" spans="1:10">
      <c r="A423" s="39">
        <v>90413</v>
      </c>
      <c r="B423" s="37" t="s">
        <v>27</v>
      </c>
      <c r="C423" s="37" t="s">
        <v>461</v>
      </c>
      <c r="D423" s="38" t="str">
        <f>VLOOKUP(B423, Mapping!$A:$B, 2, FALSE)</f>
        <v>中部</v>
      </c>
      <c r="E423" s="38" t="str">
        <f>IFERROR(VLOOKUP(A423, '113_Faraway'!$A:$C, 3,FALSE),"非偏遠")</f>
        <v>非偏遠</v>
      </c>
      <c r="F423" s="33">
        <f>VLOOKUP(A423, '111_Raw'!$B:$D,3,FALSE)</f>
        <v>951</v>
      </c>
      <c r="G423" s="33">
        <f>VLOOKUP(A423, '113_Raw'!$B:$D,3,FALSE)</f>
        <v>915</v>
      </c>
      <c r="H423" s="35">
        <f t="shared" si="19"/>
        <v>-3.7999999999999999E-2</v>
      </c>
      <c r="I423" s="38" t="str">
        <f t="shared" si="18"/>
        <v>小幅下降</v>
      </c>
      <c r="J423" s="32" t="b">
        <f t="shared" si="20"/>
        <v>1</v>
      </c>
    </row>
    <row r="424" spans="1:10">
      <c r="A424" s="39">
        <v>91410</v>
      </c>
      <c r="B424" s="37" t="s">
        <v>27</v>
      </c>
      <c r="C424" s="37" t="s">
        <v>462</v>
      </c>
      <c r="D424" s="38" t="str">
        <f>VLOOKUP(B424, Mapping!$A:$B, 2, FALSE)</f>
        <v>中部</v>
      </c>
      <c r="E424" s="38" t="str">
        <f>IFERROR(VLOOKUP(A424, '113_Faraway'!$A:$C, 3,FALSE),"非偏遠")</f>
        <v>非偏遠</v>
      </c>
      <c r="F424" s="33">
        <f>VLOOKUP(A424, '111_Raw'!$B:$D,3,FALSE)</f>
        <v>681</v>
      </c>
      <c r="G424" s="33">
        <f>VLOOKUP(A424, '113_Raw'!$B:$D,3,FALSE)</f>
        <v>406</v>
      </c>
      <c r="H424" s="35">
        <f t="shared" si="19"/>
        <v>-0.40400000000000003</v>
      </c>
      <c r="I424" s="38" t="str">
        <f t="shared" si="18"/>
        <v>明顯下降</v>
      </c>
      <c r="J424" s="32" t="b">
        <f t="shared" si="20"/>
        <v>1</v>
      </c>
    </row>
    <row r="425" spans="1:10">
      <c r="A425" s="39">
        <v>91414</v>
      </c>
      <c r="B425" s="37" t="s">
        <v>27</v>
      </c>
      <c r="C425" s="37" t="s">
        <v>463</v>
      </c>
      <c r="D425" s="38" t="str">
        <f>VLOOKUP(B425, Mapping!$A:$B, 2, FALSE)</f>
        <v>中部</v>
      </c>
      <c r="E425" s="38" t="str">
        <f>IFERROR(VLOOKUP(A425, '113_Faraway'!$A:$C, 3,FALSE),"非偏遠")</f>
        <v>非偏遠</v>
      </c>
      <c r="F425" s="33">
        <f>VLOOKUP(A425, '111_Raw'!$B:$D,3,FALSE)</f>
        <v>455</v>
      </c>
      <c r="G425" s="33">
        <f>VLOOKUP(A425, '113_Raw'!$B:$D,3,FALSE)</f>
        <v>310</v>
      </c>
      <c r="H425" s="35">
        <f t="shared" si="19"/>
        <v>-0.31900000000000001</v>
      </c>
      <c r="I425" s="38" t="str">
        <f t="shared" si="18"/>
        <v>明顯下降</v>
      </c>
      <c r="J425" s="32" t="b">
        <f t="shared" si="20"/>
        <v>1</v>
      </c>
    </row>
    <row r="426" spans="1:10">
      <c r="A426" s="36">
        <v>100402</v>
      </c>
      <c r="B426" s="37" t="s">
        <v>28</v>
      </c>
      <c r="C426" s="37" t="s">
        <v>464</v>
      </c>
      <c r="D426" s="38" t="str">
        <f>VLOOKUP(B426, Mapping!$A:$B, 2, FALSE)</f>
        <v>南部</v>
      </c>
      <c r="E426" s="38" t="str">
        <f>IFERROR(VLOOKUP(A426, '113_Faraway'!$A:$C, 3,FALSE),"非偏遠")</f>
        <v>非偏遠</v>
      </c>
      <c r="F426" s="33">
        <f>VLOOKUP(A426, '111_Raw'!$B:$D,3,FALSE)</f>
        <v>963</v>
      </c>
      <c r="G426" s="33">
        <f>VLOOKUP(A426, '113_Raw'!$B:$D,3,FALSE)</f>
        <v>765</v>
      </c>
      <c r="H426" s="35">
        <f t="shared" si="19"/>
        <v>-0.20599999999999999</v>
      </c>
      <c r="I426" s="38" t="str">
        <f t="shared" si="18"/>
        <v>明顯下降</v>
      </c>
      <c r="J426" s="32" t="b">
        <f t="shared" si="20"/>
        <v>1</v>
      </c>
    </row>
    <row r="427" spans="1:10">
      <c r="A427" s="36">
        <v>101406</v>
      </c>
      <c r="B427" s="37" t="s">
        <v>28</v>
      </c>
      <c r="C427" s="37" t="s">
        <v>466</v>
      </c>
      <c r="D427" s="38" t="str">
        <f>VLOOKUP(B427, Mapping!$A:$B, 2, FALSE)</f>
        <v>南部</v>
      </c>
      <c r="E427" s="38" t="str">
        <f>IFERROR(VLOOKUP(A427, '113_Faraway'!$A:$C, 3,FALSE),"非偏遠")</f>
        <v>非偏遠</v>
      </c>
      <c r="F427" s="33">
        <f>VLOOKUP(A427, '111_Raw'!$B:$D,3,FALSE)</f>
        <v>1194</v>
      </c>
      <c r="G427" s="33">
        <f>VLOOKUP(A427, '113_Raw'!$B:$D,3,FALSE)</f>
        <v>1064</v>
      </c>
      <c r="H427" s="35">
        <f t="shared" si="19"/>
        <v>-0.109</v>
      </c>
      <c r="I427" s="38" t="str">
        <f t="shared" si="18"/>
        <v>明顯下降</v>
      </c>
      <c r="J427" s="32" t="b">
        <f t="shared" si="20"/>
        <v>1</v>
      </c>
    </row>
    <row r="428" spans="1:10">
      <c r="A428" s="36">
        <v>110401</v>
      </c>
      <c r="B428" s="37" t="s">
        <v>29</v>
      </c>
      <c r="C428" s="37" t="s">
        <v>467</v>
      </c>
      <c r="D428" s="38" t="str">
        <f>VLOOKUP(B428, Mapping!$A:$B, 2, FALSE)</f>
        <v>南部</v>
      </c>
      <c r="E428" s="38" t="str">
        <f>IFERROR(VLOOKUP(A428, '113_Faraway'!$A:$C, 3,FALSE),"非偏遠")</f>
        <v>非偏遠</v>
      </c>
      <c r="F428" s="33">
        <f>VLOOKUP(A428, '111_Raw'!$B:$D,3,FALSE)</f>
        <v>1140</v>
      </c>
      <c r="G428" s="33">
        <f>VLOOKUP(A428, '113_Raw'!$B:$D,3,FALSE)</f>
        <v>1119</v>
      </c>
      <c r="H428" s="35">
        <f t="shared" si="19"/>
        <v>-1.7999999999999999E-2</v>
      </c>
      <c r="I428" s="38" t="str">
        <f t="shared" si="18"/>
        <v>小幅下降</v>
      </c>
      <c r="J428" s="32" t="b">
        <f t="shared" si="20"/>
        <v>1</v>
      </c>
    </row>
    <row r="429" spans="1:10">
      <c r="A429" s="36">
        <v>110403</v>
      </c>
      <c r="B429" s="37" t="s">
        <v>29</v>
      </c>
      <c r="C429" s="37" t="s">
        <v>468</v>
      </c>
      <c r="D429" s="38" t="str">
        <f>VLOOKUP(B429, Mapping!$A:$B, 2, FALSE)</f>
        <v>南部</v>
      </c>
      <c r="E429" s="38" t="str">
        <f>IFERROR(VLOOKUP(A429, '113_Faraway'!$A:$C, 3,FALSE),"非偏遠")</f>
        <v>非偏遠</v>
      </c>
      <c r="F429" s="33">
        <f>VLOOKUP(A429, '111_Raw'!$B:$D,3,FALSE)</f>
        <v>331</v>
      </c>
      <c r="G429" s="33">
        <f>VLOOKUP(A429, '113_Raw'!$B:$D,3,FALSE)</f>
        <v>341</v>
      </c>
      <c r="H429" s="35">
        <f t="shared" si="19"/>
        <v>0.03</v>
      </c>
      <c r="I429" s="38" t="str">
        <f t="shared" si="18"/>
        <v>穩定或成長</v>
      </c>
      <c r="J429" s="32" t="b">
        <f t="shared" si="20"/>
        <v>0</v>
      </c>
    </row>
    <row r="430" spans="1:10">
      <c r="A430" s="36">
        <v>110404</v>
      </c>
      <c r="B430" s="37" t="s">
        <v>29</v>
      </c>
      <c r="C430" s="37" t="s">
        <v>469</v>
      </c>
      <c r="D430" s="38" t="str">
        <f>VLOOKUP(B430, Mapping!$A:$B, 2, FALSE)</f>
        <v>南部</v>
      </c>
      <c r="E430" s="38" t="str">
        <f>IFERROR(VLOOKUP(A430, '113_Faraway'!$A:$C, 3,FALSE),"非偏遠")</f>
        <v>非偏遠</v>
      </c>
      <c r="F430" s="33">
        <f>VLOOKUP(A430, '111_Raw'!$B:$D,3,FALSE)</f>
        <v>1430</v>
      </c>
      <c r="G430" s="33">
        <f>VLOOKUP(A430, '113_Raw'!$B:$D,3,FALSE)</f>
        <v>1188</v>
      </c>
      <c r="H430" s="35">
        <f t="shared" si="19"/>
        <v>-0.16900000000000001</v>
      </c>
      <c r="I430" s="38" t="str">
        <f t="shared" si="18"/>
        <v>明顯下降</v>
      </c>
      <c r="J430" s="32" t="b">
        <f t="shared" si="20"/>
        <v>1</v>
      </c>
    </row>
    <row r="431" spans="1:10">
      <c r="A431" s="36">
        <v>110405</v>
      </c>
      <c r="B431" s="37" t="s">
        <v>29</v>
      </c>
      <c r="C431" s="37" t="s">
        <v>470</v>
      </c>
      <c r="D431" s="38" t="str">
        <f>VLOOKUP(B431, Mapping!$A:$B, 2, FALSE)</f>
        <v>南部</v>
      </c>
      <c r="E431" s="38" t="str">
        <f>IFERROR(VLOOKUP(A431, '113_Faraway'!$A:$C, 3,FALSE),"非偏遠")</f>
        <v>非偏遠</v>
      </c>
      <c r="F431" s="33">
        <f>VLOOKUP(A431, '111_Raw'!$B:$D,3,FALSE)</f>
        <v>894</v>
      </c>
      <c r="G431" s="33">
        <f>VLOOKUP(A431, '113_Raw'!$B:$D,3,FALSE)</f>
        <v>860</v>
      </c>
      <c r="H431" s="35">
        <f t="shared" si="19"/>
        <v>-3.7999999999999999E-2</v>
      </c>
      <c r="I431" s="38" t="str">
        <f t="shared" si="18"/>
        <v>小幅下降</v>
      </c>
      <c r="J431" s="32" t="b">
        <f t="shared" si="20"/>
        <v>1</v>
      </c>
    </row>
    <row r="432" spans="1:10">
      <c r="A432" s="36">
        <v>110406</v>
      </c>
      <c r="B432" s="37" t="s">
        <v>29</v>
      </c>
      <c r="C432" s="37" t="s">
        <v>471</v>
      </c>
      <c r="D432" s="38" t="str">
        <f>VLOOKUP(B432, Mapping!$A:$B, 2, FALSE)</f>
        <v>南部</v>
      </c>
      <c r="E432" s="38" t="str">
        <f>IFERROR(VLOOKUP(A432, '113_Faraway'!$A:$C, 3,FALSE),"非偏遠")</f>
        <v>非偏遠</v>
      </c>
      <c r="F432" s="33">
        <f>VLOOKUP(A432, '111_Raw'!$B:$D,3,FALSE)</f>
        <v>1025</v>
      </c>
      <c r="G432" s="33">
        <f>VLOOKUP(A432, '113_Raw'!$B:$D,3,FALSE)</f>
        <v>837</v>
      </c>
      <c r="H432" s="35">
        <f t="shared" si="19"/>
        <v>-0.183</v>
      </c>
      <c r="I432" s="38" t="str">
        <f t="shared" si="18"/>
        <v>明顯下降</v>
      </c>
      <c r="J432" s="32" t="b">
        <f t="shared" si="20"/>
        <v>1</v>
      </c>
    </row>
    <row r="433" spans="1:10">
      <c r="A433" s="36">
        <v>110407</v>
      </c>
      <c r="B433" s="37" t="s">
        <v>29</v>
      </c>
      <c r="C433" s="37" t="s">
        <v>472</v>
      </c>
      <c r="D433" s="38" t="str">
        <f>VLOOKUP(B433, Mapping!$A:$B, 2, FALSE)</f>
        <v>南部</v>
      </c>
      <c r="E433" s="38" t="str">
        <f>IFERROR(VLOOKUP(A433, '113_Faraway'!$A:$C, 3,FALSE),"非偏遠")</f>
        <v>非偏遠</v>
      </c>
      <c r="F433" s="33">
        <f>VLOOKUP(A433, '111_Raw'!$B:$D,3,FALSE)</f>
        <v>464</v>
      </c>
      <c r="G433" s="33">
        <f>VLOOKUP(A433, '113_Raw'!$B:$D,3,FALSE)</f>
        <v>394</v>
      </c>
      <c r="H433" s="35">
        <f t="shared" si="19"/>
        <v>-0.151</v>
      </c>
      <c r="I433" s="38" t="str">
        <f t="shared" si="18"/>
        <v>明顯下降</v>
      </c>
      <c r="J433" s="32" t="b">
        <f t="shared" si="20"/>
        <v>1</v>
      </c>
    </row>
    <row r="434" spans="1:10">
      <c r="A434" s="36">
        <v>110409</v>
      </c>
      <c r="B434" s="37" t="s">
        <v>29</v>
      </c>
      <c r="C434" s="37" t="s">
        <v>622</v>
      </c>
      <c r="D434" s="38" t="str">
        <f>VLOOKUP(B434, Mapping!$A:$B, 2, FALSE)</f>
        <v>南部</v>
      </c>
      <c r="E434" s="38" t="str">
        <f>IFERROR(VLOOKUP(A434, '113_Faraway'!$A:$C, 3,FALSE),"非偏遠")</f>
        <v>非偏遠</v>
      </c>
      <c r="F434" s="33">
        <f>VLOOKUP(A434, '111_Raw'!$B:$D,3,FALSE)</f>
        <v>2477</v>
      </c>
      <c r="G434" s="33">
        <f>VLOOKUP(A434, '113_Raw'!$B:$D,3,FALSE)</f>
        <v>2543</v>
      </c>
      <c r="H434" s="35">
        <f t="shared" si="19"/>
        <v>2.7E-2</v>
      </c>
      <c r="I434" s="38" t="str">
        <f t="shared" si="18"/>
        <v>穩定或成長</v>
      </c>
      <c r="J434" s="32" t="b">
        <f t="shared" si="20"/>
        <v>0</v>
      </c>
    </row>
    <row r="435" spans="1:10">
      <c r="A435" s="36">
        <v>110410</v>
      </c>
      <c r="B435" s="37" t="s">
        <v>29</v>
      </c>
      <c r="C435" s="37" t="s">
        <v>474</v>
      </c>
      <c r="D435" s="38" t="str">
        <f>VLOOKUP(B435, Mapping!$A:$B, 2, FALSE)</f>
        <v>南部</v>
      </c>
      <c r="E435" s="38" t="str">
        <f>IFERROR(VLOOKUP(A435, '113_Faraway'!$A:$C, 3,FALSE),"非偏遠")</f>
        <v>非偏遠</v>
      </c>
      <c r="F435" s="33">
        <f>VLOOKUP(A435, '111_Raw'!$B:$D,3,FALSE)</f>
        <v>1094</v>
      </c>
      <c r="G435" s="33">
        <f>VLOOKUP(A435, '113_Raw'!$B:$D,3,FALSE)</f>
        <v>932</v>
      </c>
      <c r="H435" s="35">
        <f t="shared" si="19"/>
        <v>-0.14799999999999999</v>
      </c>
      <c r="I435" s="38" t="str">
        <f t="shared" si="18"/>
        <v>明顯下降</v>
      </c>
      <c r="J435" s="32" t="b">
        <f t="shared" si="20"/>
        <v>1</v>
      </c>
    </row>
    <row r="436" spans="1:10">
      <c r="A436" s="36">
        <v>111419</v>
      </c>
      <c r="B436" s="37" t="s">
        <v>29</v>
      </c>
      <c r="C436" s="37" t="s">
        <v>475</v>
      </c>
      <c r="D436" s="38" t="str">
        <f>VLOOKUP(B436, Mapping!$A:$B, 2, FALSE)</f>
        <v>南部</v>
      </c>
      <c r="E436" s="38" t="str">
        <f>IFERROR(VLOOKUP(A436, '113_Faraway'!$A:$C, 3,FALSE),"非偏遠")</f>
        <v>非偏遠</v>
      </c>
      <c r="F436" s="33">
        <f>VLOOKUP(A436, '111_Raw'!$B:$D,3,FALSE)</f>
        <v>306</v>
      </c>
      <c r="G436" s="33">
        <f>VLOOKUP(A436, '113_Raw'!$B:$D,3,FALSE)</f>
        <v>135</v>
      </c>
      <c r="H436" s="35">
        <f t="shared" si="19"/>
        <v>-0.55900000000000005</v>
      </c>
      <c r="I436" s="38" t="str">
        <f t="shared" si="18"/>
        <v>明顯下降</v>
      </c>
      <c r="J436" s="32" t="b">
        <f t="shared" si="20"/>
        <v>1</v>
      </c>
    </row>
    <row r="437" spans="1:10">
      <c r="A437" s="36">
        <v>111427</v>
      </c>
      <c r="B437" s="37" t="s">
        <v>29</v>
      </c>
      <c r="C437" s="37" t="s">
        <v>476</v>
      </c>
      <c r="D437" s="38" t="str">
        <f>VLOOKUP(B437, Mapping!$A:$B, 2, FALSE)</f>
        <v>南部</v>
      </c>
      <c r="E437" s="38" t="str">
        <f>IFERROR(VLOOKUP(A437, '113_Faraway'!$A:$C, 3,FALSE),"非偏遠")</f>
        <v>非偏遠</v>
      </c>
      <c r="F437" s="33">
        <f>VLOOKUP(A437, '111_Raw'!$B:$D,3,FALSE)</f>
        <v>507</v>
      </c>
      <c r="G437" s="33">
        <f>VLOOKUP(A437, '113_Raw'!$B:$D,3,FALSE)</f>
        <v>375</v>
      </c>
      <c r="H437" s="35">
        <f t="shared" si="19"/>
        <v>-0.26</v>
      </c>
      <c r="I437" s="38" t="str">
        <f t="shared" si="18"/>
        <v>明顯下降</v>
      </c>
      <c r="J437" s="32" t="b">
        <f t="shared" si="20"/>
        <v>1</v>
      </c>
    </row>
    <row r="438" spans="1:10">
      <c r="A438" s="36">
        <v>120401</v>
      </c>
      <c r="B438" s="37" t="s">
        <v>30</v>
      </c>
      <c r="C438" s="37" t="s">
        <v>477</v>
      </c>
      <c r="D438" s="38" t="str">
        <f>VLOOKUP(B438, Mapping!$A:$B, 2, FALSE)</f>
        <v>南部</v>
      </c>
      <c r="E438" s="38" t="str">
        <f>IFERROR(VLOOKUP(A438, '113_Faraway'!$A:$C, 3,FALSE),"非偏遠")</f>
        <v>非偏遠</v>
      </c>
      <c r="F438" s="33">
        <f>VLOOKUP(A438, '111_Raw'!$B:$D,3,FALSE)</f>
        <v>581</v>
      </c>
      <c r="G438" s="33">
        <f>VLOOKUP(A438, '113_Raw'!$B:$D,3,FALSE)</f>
        <v>507</v>
      </c>
      <c r="H438" s="35">
        <f t="shared" si="19"/>
        <v>-0.127</v>
      </c>
      <c r="I438" s="38" t="str">
        <f t="shared" si="18"/>
        <v>明顯下降</v>
      </c>
      <c r="J438" s="32" t="b">
        <f t="shared" si="20"/>
        <v>1</v>
      </c>
    </row>
    <row r="439" spans="1:10">
      <c r="A439" s="36">
        <v>120402</v>
      </c>
      <c r="B439" s="37" t="s">
        <v>30</v>
      </c>
      <c r="C439" s="37" t="s">
        <v>478</v>
      </c>
      <c r="D439" s="38" t="str">
        <f>VLOOKUP(B439, Mapping!$A:$B, 2, FALSE)</f>
        <v>南部</v>
      </c>
      <c r="E439" s="38" t="str">
        <f>IFERROR(VLOOKUP(A439, '113_Faraway'!$A:$C, 3,FALSE),"非偏遠")</f>
        <v>非偏遠</v>
      </c>
      <c r="F439" s="33">
        <f>VLOOKUP(A439, '111_Raw'!$B:$D,3,FALSE)</f>
        <v>1630</v>
      </c>
      <c r="G439" s="33">
        <f>VLOOKUP(A439, '113_Raw'!$B:$D,3,FALSE)</f>
        <v>1560</v>
      </c>
      <c r="H439" s="35">
        <f t="shared" si="19"/>
        <v>-4.2999999999999997E-2</v>
      </c>
      <c r="I439" s="38" t="str">
        <f t="shared" si="18"/>
        <v>小幅下降</v>
      </c>
      <c r="J439" s="32" t="b">
        <f t="shared" si="20"/>
        <v>1</v>
      </c>
    </row>
    <row r="440" spans="1:10">
      <c r="A440" s="36">
        <v>120409</v>
      </c>
      <c r="B440" s="37" t="s">
        <v>30</v>
      </c>
      <c r="C440" s="37" t="s">
        <v>479</v>
      </c>
      <c r="D440" s="38" t="str">
        <f>VLOOKUP(B440, Mapping!$A:$B, 2, FALSE)</f>
        <v>南部</v>
      </c>
      <c r="E440" s="38" t="str">
        <f>IFERROR(VLOOKUP(A440, '113_Faraway'!$A:$C, 3,FALSE),"非偏遠")</f>
        <v>非偏遠</v>
      </c>
      <c r="F440" s="33">
        <f>VLOOKUP(A440, '111_Raw'!$B:$D,3,FALSE)</f>
        <v>2075</v>
      </c>
      <c r="G440" s="33">
        <f>VLOOKUP(A440, '113_Raw'!$B:$D,3,FALSE)</f>
        <v>2065</v>
      </c>
      <c r="H440" s="35">
        <f t="shared" si="19"/>
        <v>-5.0000000000000001E-3</v>
      </c>
      <c r="I440" s="38" t="str">
        <f t="shared" si="18"/>
        <v>小幅下降</v>
      </c>
      <c r="J440" s="32" t="b">
        <f t="shared" si="20"/>
        <v>0</v>
      </c>
    </row>
    <row r="441" spans="1:10">
      <c r="A441" s="36">
        <v>121405</v>
      </c>
      <c r="B441" s="37" t="s">
        <v>30</v>
      </c>
      <c r="C441" s="37" t="s">
        <v>480</v>
      </c>
      <c r="D441" s="38" t="str">
        <f>VLOOKUP(B441, Mapping!$A:$B, 2, FALSE)</f>
        <v>南部</v>
      </c>
      <c r="E441" s="38" t="str">
        <f>IFERROR(VLOOKUP(A441, '113_Faraway'!$A:$C, 3,FALSE),"非偏遠")</f>
        <v>非偏遠</v>
      </c>
      <c r="F441" s="33">
        <f>VLOOKUP(A441, '111_Raw'!$B:$D,3,FALSE)</f>
        <v>7724</v>
      </c>
      <c r="G441" s="33">
        <f>VLOOKUP(A441, '113_Raw'!$B:$D,3,FALSE)</f>
        <v>6709</v>
      </c>
      <c r="H441" s="35">
        <f t="shared" si="19"/>
        <v>-0.13100000000000001</v>
      </c>
      <c r="I441" s="38" t="str">
        <f t="shared" si="18"/>
        <v>明顯下降</v>
      </c>
      <c r="J441" s="32" t="b">
        <f t="shared" si="20"/>
        <v>1</v>
      </c>
    </row>
    <row r="442" spans="1:10">
      <c r="A442" s="36">
        <v>121410</v>
      </c>
      <c r="B442" s="37" t="s">
        <v>30</v>
      </c>
      <c r="C442" s="37" t="s">
        <v>481</v>
      </c>
      <c r="D442" s="38" t="str">
        <f>VLOOKUP(B442, Mapping!$A:$B, 2, FALSE)</f>
        <v>南部</v>
      </c>
      <c r="E442" s="38" t="str">
        <f>IFERROR(VLOOKUP(A442, '113_Faraway'!$A:$C, 3,FALSE),"非偏遠")</f>
        <v>非偏遠</v>
      </c>
      <c r="F442" s="33">
        <f>VLOOKUP(A442, '111_Raw'!$B:$D,3,FALSE)</f>
        <v>106</v>
      </c>
      <c r="G442" s="33">
        <f>VLOOKUP(A442, '113_Raw'!$B:$D,3,FALSE)</f>
        <v>65</v>
      </c>
      <c r="H442" s="35">
        <f t="shared" si="19"/>
        <v>-0.38700000000000001</v>
      </c>
      <c r="I442" s="38" t="str">
        <f t="shared" si="18"/>
        <v>明顯下降</v>
      </c>
      <c r="J442" s="32" t="b">
        <f t="shared" si="20"/>
        <v>1</v>
      </c>
    </row>
    <row r="443" spans="1:10">
      <c r="A443" s="36">
        <v>121413</v>
      </c>
      <c r="B443" s="37" t="s">
        <v>30</v>
      </c>
      <c r="C443" s="37" t="s">
        <v>482</v>
      </c>
      <c r="D443" s="38" t="str">
        <f>VLOOKUP(B443, Mapping!$A:$B, 2, FALSE)</f>
        <v>南部</v>
      </c>
      <c r="E443" s="38" t="str">
        <f>IFERROR(VLOOKUP(A443, '113_Faraway'!$A:$C, 3,FALSE),"非偏遠")</f>
        <v>非偏遠</v>
      </c>
      <c r="F443" s="33">
        <f>VLOOKUP(A443, '111_Raw'!$B:$D,3,FALSE)</f>
        <v>1090</v>
      </c>
      <c r="G443" s="33">
        <f>VLOOKUP(A443, '113_Raw'!$B:$D,3,FALSE)</f>
        <v>753</v>
      </c>
      <c r="H443" s="35">
        <f t="shared" si="19"/>
        <v>-0.309</v>
      </c>
      <c r="I443" s="38" t="str">
        <f t="shared" si="18"/>
        <v>明顯下降</v>
      </c>
      <c r="J443" s="32" t="b">
        <f t="shared" si="20"/>
        <v>1</v>
      </c>
    </row>
    <row r="444" spans="1:10">
      <c r="A444" s="36">
        <v>121415</v>
      </c>
      <c r="B444" s="37" t="s">
        <v>30</v>
      </c>
      <c r="C444" s="37" t="s">
        <v>483</v>
      </c>
      <c r="D444" s="38" t="str">
        <f>VLOOKUP(B444, Mapping!$A:$B, 2, FALSE)</f>
        <v>南部</v>
      </c>
      <c r="E444" s="38" t="str">
        <f>IFERROR(VLOOKUP(A444, '113_Faraway'!$A:$C, 3,FALSE),"非偏遠")</f>
        <v>非偏遠</v>
      </c>
      <c r="F444" s="33">
        <f>VLOOKUP(A444, '111_Raw'!$B:$D,3,FALSE)</f>
        <v>421</v>
      </c>
      <c r="G444" s="33">
        <f>VLOOKUP(A444, '113_Raw'!$B:$D,3,FALSE)</f>
        <v>392</v>
      </c>
      <c r="H444" s="35">
        <f t="shared" si="19"/>
        <v>-6.9000000000000006E-2</v>
      </c>
      <c r="I444" s="38" t="str">
        <f t="shared" si="18"/>
        <v>明顯下降</v>
      </c>
      <c r="J444" s="32" t="b">
        <f t="shared" si="20"/>
        <v>1</v>
      </c>
    </row>
    <row r="445" spans="1:10">
      <c r="A445" s="36">
        <v>121417</v>
      </c>
      <c r="B445" s="37" t="s">
        <v>30</v>
      </c>
      <c r="C445" s="37" t="s">
        <v>484</v>
      </c>
      <c r="D445" s="38" t="str">
        <f>VLOOKUP(B445, Mapping!$A:$B, 2, FALSE)</f>
        <v>南部</v>
      </c>
      <c r="E445" s="38" t="str">
        <f>IFERROR(VLOOKUP(A445, '113_Faraway'!$A:$C, 3,FALSE),"非偏遠")</f>
        <v>非偏遠</v>
      </c>
      <c r="F445" s="33">
        <f>VLOOKUP(A445, '111_Raw'!$B:$D,3,FALSE)</f>
        <v>1210</v>
      </c>
      <c r="G445" s="33">
        <f>VLOOKUP(A445, '113_Raw'!$B:$D,3,FALSE)</f>
        <v>1345</v>
      </c>
      <c r="H445" s="35">
        <f t="shared" si="19"/>
        <v>0.112</v>
      </c>
      <c r="I445" s="38" t="str">
        <f t="shared" si="18"/>
        <v>穩定或成長</v>
      </c>
      <c r="J445" s="32" t="b">
        <f t="shared" si="20"/>
        <v>0</v>
      </c>
    </row>
    <row r="446" spans="1:10">
      <c r="A446" s="36">
        <v>130401</v>
      </c>
      <c r="B446" s="37" t="s">
        <v>31</v>
      </c>
      <c r="C446" s="37" t="s">
        <v>485</v>
      </c>
      <c r="D446" s="38" t="str">
        <f>VLOOKUP(B446, Mapping!$A:$B, 2, FALSE)</f>
        <v>南部</v>
      </c>
      <c r="E446" s="38" t="str">
        <f>IFERROR(VLOOKUP(A446, '113_Faraway'!$A:$C, 3,FALSE),"非偏遠")</f>
        <v>非偏遠</v>
      </c>
      <c r="F446" s="33">
        <f>VLOOKUP(A446, '111_Raw'!$B:$D,3,FALSE)</f>
        <v>556</v>
      </c>
      <c r="G446" s="33">
        <f>VLOOKUP(A446, '113_Raw'!$B:$D,3,FALSE)</f>
        <v>464</v>
      </c>
      <c r="H446" s="35">
        <f t="shared" si="19"/>
        <v>-0.16500000000000001</v>
      </c>
      <c r="I446" s="38" t="str">
        <f t="shared" ref="I446:I509" si="21">IF(H446&gt;=0,"穩定或成長",IF(H446&gt;-0.05,"小幅下降","明顯下降"))</f>
        <v>明顯下降</v>
      </c>
      <c r="J446" s="32" t="b">
        <f t="shared" si="20"/>
        <v>1</v>
      </c>
    </row>
    <row r="447" spans="1:10">
      <c r="A447" s="36">
        <v>130403</v>
      </c>
      <c r="B447" s="37" t="s">
        <v>31</v>
      </c>
      <c r="C447" s="37" t="s">
        <v>486</v>
      </c>
      <c r="D447" s="38" t="str">
        <f>VLOOKUP(B447, Mapping!$A:$B, 2, FALSE)</f>
        <v>南部</v>
      </c>
      <c r="E447" s="38" t="str">
        <f>IFERROR(VLOOKUP(A447, '113_Faraway'!$A:$C, 3,FALSE),"非偏遠")</f>
        <v>非偏遠</v>
      </c>
      <c r="F447" s="33">
        <f>VLOOKUP(A447, '111_Raw'!$B:$D,3,FALSE)</f>
        <v>1738</v>
      </c>
      <c r="G447" s="33">
        <f>VLOOKUP(A447, '113_Raw'!$B:$D,3,FALSE)</f>
        <v>1648</v>
      </c>
      <c r="H447" s="35">
        <f t="shared" si="19"/>
        <v>-5.1999999999999998E-2</v>
      </c>
      <c r="I447" s="38" t="str">
        <f t="shared" si="21"/>
        <v>明顯下降</v>
      </c>
      <c r="J447" s="32" t="b">
        <f t="shared" si="20"/>
        <v>1</v>
      </c>
    </row>
    <row r="448" spans="1:10">
      <c r="A448" s="36">
        <v>130404</v>
      </c>
      <c r="B448" s="37" t="s">
        <v>31</v>
      </c>
      <c r="C448" s="37" t="s">
        <v>487</v>
      </c>
      <c r="D448" s="38" t="str">
        <f>VLOOKUP(B448, Mapping!$A:$B, 2, FALSE)</f>
        <v>南部</v>
      </c>
      <c r="E448" s="38" t="str">
        <f>IFERROR(VLOOKUP(A448, '113_Faraway'!$A:$C, 3,FALSE),"非偏遠")</f>
        <v>偏遠</v>
      </c>
      <c r="F448" s="33">
        <f>VLOOKUP(A448, '111_Raw'!$B:$D,3,FALSE)</f>
        <v>779</v>
      </c>
      <c r="G448" s="33">
        <f>VLOOKUP(A448, '113_Raw'!$B:$D,3,FALSE)</f>
        <v>641</v>
      </c>
      <c r="H448" s="35">
        <f t="shared" si="19"/>
        <v>-0.17699999999999999</v>
      </c>
      <c r="I448" s="38" t="str">
        <f t="shared" si="21"/>
        <v>明顯下降</v>
      </c>
      <c r="J448" s="32" t="b">
        <f t="shared" si="20"/>
        <v>1</v>
      </c>
    </row>
    <row r="449" spans="1:10">
      <c r="A449" s="36">
        <v>130410</v>
      </c>
      <c r="B449" s="37" t="s">
        <v>31</v>
      </c>
      <c r="C449" s="37" t="s">
        <v>488</v>
      </c>
      <c r="D449" s="38" t="str">
        <f>VLOOKUP(B449, Mapping!$A:$B, 2, FALSE)</f>
        <v>南部</v>
      </c>
      <c r="E449" s="38" t="str">
        <f>IFERROR(VLOOKUP(A449, '113_Faraway'!$A:$C, 3,FALSE),"非偏遠")</f>
        <v>非偏遠</v>
      </c>
      <c r="F449" s="33">
        <f>VLOOKUP(A449, '111_Raw'!$B:$D,3,FALSE)</f>
        <v>778</v>
      </c>
      <c r="G449" s="33">
        <f>VLOOKUP(A449, '113_Raw'!$B:$D,3,FALSE)</f>
        <v>615</v>
      </c>
      <c r="H449" s="35">
        <f t="shared" si="19"/>
        <v>-0.21</v>
      </c>
      <c r="I449" s="38" t="str">
        <f t="shared" si="21"/>
        <v>明顯下降</v>
      </c>
      <c r="J449" s="32" t="b">
        <f t="shared" si="20"/>
        <v>1</v>
      </c>
    </row>
    <row r="450" spans="1:10">
      <c r="A450" s="36">
        <v>130417</v>
      </c>
      <c r="B450" s="37" t="s">
        <v>31</v>
      </c>
      <c r="C450" s="37" t="s">
        <v>489</v>
      </c>
      <c r="D450" s="38" t="str">
        <f>VLOOKUP(B450, Mapping!$A:$B, 2, FALSE)</f>
        <v>南部</v>
      </c>
      <c r="E450" s="38" t="str">
        <f>IFERROR(VLOOKUP(A450, '113_Faraway'!$A:$C, 3,FALSE),"非偏遠")</f>
        <v>特偏</v>
      </c>
      <c r="F450" s="33">
        <f>VLOOKUP(A450, '111_Raw'!$B:$D,3,FALSE)</f>
        <v>592</v>
      </c>
      <c r="G450" s="33">
        <f>VLOOKUP(A450, '113_Raw'!$B:$D,3,FALSE)</f>
        <v>432</v>
      </c>
      <c r="H450" s="35">
        <f t="shared" si="19"/>
        <v>-0.27</v>
      </c>
      <c r="I450" s="38" t="str">
        <f t="shared" si="21"/>
        <v>明顯下降</v>
      </c>
      <c r="J450" s="32" t="b">
        <f t="shared" si="20"/>
        <v>1</v>
      </c>
    </row>
    <row r="451" spans="1:10">
      <c r="A451" s="36">
        <v>131409</v>
      </c>
      <c r="B451" s="37" t="s">
        <v>31</v>
      </c>
      <c r="C451" s="37" t="s">
        <v>490</v>
      </c>
      <c r="D451" s="38" t="str">
        <f>VLOOKUP(B451, Mapping!$A:$B, 2, FALSE)</f>
        <v>南部</v>
      </c>
      <c r="E451" s="38" t="str">
        <f>IFERROR(VLOOKUP(A451, '113_Faraway'!$A:$C, 3,FALSE),"非偏遠")</f>
        <v>非偏遠</v>
      </c>
      <c r="F451" s="33">
        <f>VLOOKUP(A451, '111_Raw'!$B:$D,3,FALSE)</f>
        <v>383</v>
      </c>
      <c r="G451" s="33">
        <f>VLOOKUP(A451, '113_Raw'!$B:$D,3,FALSE)</f>
        <v>267</v>
      </c>
      <c r="H451" s="35">
        <f t="shared" ref="H451:H514" si="22">ROUND((G451-F451)/F451,3)</f>
        <v>-0.30299999999999999</v>
      </c>
      <c r="I451" s="38" t="str">
        <f t="shared" si="21"/>
        <v>明顯下降</v>
      </c>
      <c r="J451" s="32" t="b">
        <f t="shared" ref="J451:J514" si="23">IF(H451 &lt; $K$2, TRUE, FALSE)</f>
        <v>1</v>
      </c>
    </row>
    <row r="452" spans="1:10">
      <c r="A452" s="36">
        <v>131418</v>
      </c>
      <c r="B452" s="37" t="s">
        <v>31</v>
      </c>
      <c r="C452" s="37" t="s">
        <v>491</v>
      </c>
      <c r="D452" s="38" t="str">
        <f>VLOOKUP(B452, Mapping!$A:$B, 2, FALSE)</f>
        <v>南部</v>
      </c>
      <c r="E452" s="38" t="str">
        <f>IFERROR(VLOOKUP(A452, '113_Faraway'!$A:$C, 3,FALSE),"非偏遠")</f>
        <v>非偏遠</v>
      </c>
      <c r="F452" s="33">
        <f>VLOOKUP(A452, '111_Raw'!$B:$D,3,FALSE)</f>
        <v>74</v>
      </c>
      <c r="G452" s="33">
        <f>VLOOKUP(A452, '113_Raw'!$B:$D,3,FALSE)</f>
        <v>0</v>
      </c>
      <c r="H452" s="35">
        <f t="shared" si="22"/>
        <v>-1</v>
      </c>
      <c r="I452" s="38" t="str">
        <f t="shared" si="21"/>
        <v>明顯下降</v>
      </c>
      <c r="J452" s="32" t="b">
        <f t="shared" si="23"/>
        <v>1</v>
      </c>
    </row>
    <row r="453" spans="1:10">
      <c r="A453" s="36">
        <v>140404</v>
      </c>
      <c r="B453" s="37" t="s">
        <v>18</v>
      </c>
      <c r="C453" s="37" t="s">
        <v>492</v>
      </c>
      <c r="D453" s="38" t="str">
        <f>VLOOKUP(B453, Mapping!$A:$B, 2, FALSE)</f>
        <v>東部</v>
      </c>
      <c r="E453" s="38" t="str">
        <f>IFERROR(VLOOKUP(A453, '113_Faraway'!$A:$C, 3,FALSE),"非偏遠")</f>
        <v>偏遠</v>
      </c>
      <c r="F453" s="33">
        <f>VLOOKUP(A453, '111_Raw'!$B:$D,3,FALSE)</f>
        <v>185</v>
      </c>
      <c r="G453" s="33">
        <f>VLOOKUP(A453, '113_Raw'!$B:$D,3,FALSE)</f>
        <v>181</v>
      </c>
      <c r="H453" s="35">
        <f t="shared" si="22"/>
        <v>-2.1999999999999999E-2</v>
      </c>
      <c r="I453" s="38" t="str">
        <f t="shared" si="21"/>
        <v>小幅下降</v>
      </c>
      <c r="J453" s="32" t="b">
        <f t="shared" si="23"/>
        <v>1</v>
      </c>
    </row>
    <row r="454" spans="1:10">
      <c r="A454" s="36">
        <v>140405</v>
      </c>
      <c r="B454" s="37" t="s">
        <v>18</v>
      </c>
      <c r="C454" s="37" t="s">
        <v>493</v>
      </c>
      <c r="D454" s="38" t="str">
        <f>VLOOKUP(B454, Mapping!$A:$B, 2, FALSE)</f>
        <v>東部</v>
      </c>
      <c r="E454" s="38" t="str">
        <f>IFERROR(VLOOKUP(A454, '113_Faraway'!$A:$C, 3,FALSE),"非偏遠")</f>
        <v>非偏遠</v>
      </c>
      <c r="F454" s="33">
        <f>VLOOKUP(A454, '111_Raw'!$B:$D,3,FALSE)</f>
        <v>983</v>
      </c>
      <c r="G454" s="33">
        <f>VLOOKUP(A454, '113_Raw'!$B:$D,3,FALSE)</f>
        <v>851</v>
      </c>
      <c r="H454" s="35">
        <f t="shared" si="22"/>
        <v>-0.13400000000000001</v>
      </c>
      <c r="I454" s="38" t="str">
        <f t="shared" si="21"/>
        <v>明顯下降</v>
      </c>
      <c r="J454" s="32" t="b">
        <f t="shared" si="23"/>
        <v>1</v>
      </c>
    </row>
    <row r="455" spans="1:10">
      <c r="A455" s="36">
        <v>140408</v>
      </c>
      <c r="B455" s="37" t="s">
        <v>18</v>
      </c>
      <c r="C455" s="37" t="s">
        <v>494</v>
      </c>
      <c r="D455" s="38" t="str">
        <f>VLOOKUP(B455, Mapping!$A:$B, 2, FALSE)</f>
        <v>東部</v>
      </c>
      <c r="E455" s="38" t="str">
        <f>IFERROR(VLOOKUP(A455, '113_Faraway'!$A:$C, 3,FALSE),"非偏遠")</f>
        <v>特偏</v>
      </c>
      <c r="F455" s="33">
        <f>VLOOKUP(A455, '111_Raw'!$B:$D,3,FALSE)</f>
        <v>130</v>
      </c>
      <c r="G455" s="33">
        <f>VLOOKUP(A455, '113_Raw'!$B:$D,3,FALSE)</f>
        <v>104</v>
      </c>
      <c r="H455" s="35">
        <f t="shared" si="22"/>
        <v>-0.2</v>
      </c>
      <c r="I455" s="38" t="str">
        <f t="shared" si="21"/>
        <v>明顯下降</v>
      </c>
      <c r="J455" s="32" t="b">
        <f t="shared" si="23"/>
        <v>1</v>
      </c>
    </row>
    <row r="456" spans="1:10">
      <c r="A456" s="36">
        <v>141406</v>
      </c>
      <c r="B456" s="37" t="s">
        <v>18</v>
      </c>
      <c r="C456" s="37" t="s">
        <v>495</v>
      </c>
      <c r="D456" s="38" t="str">
        <f>VLOOKUP(B456, Mapping!$A:$B, 2, FALSE)</f>
        <v>東部</v>
      </c>
      <c r="E456" s="38" t="str">
        <f>IFERROR(VLOOKUP(A456, '113_Faraway'!$A:$C, 3,FALSE),"非偏遠")</f>
        <v>非偏遠</v>
      </c>
      <c r="F456" s="33">
        <f>VLOOKUP(A456, '111_Raw'!$B:$D,3,FALSE)</f>
        <v>587</v>
      </c>
      <c r="G456" s="33">
        <f>VLOOKUP(A456, '113_Raw'!$B:$D,3,FALSE)</f>
        <v>410</v>
      </c>
      <c r="H456" s="35">
        <f t="shared" si="22"/>
        <v>-0.30199999999999999</v>
      </c>
      <c r="I456" s="38" t="str">
        <f t="shared" si="21"/>
        <v>明顯下降</v>
      </c>
      <c r="J456" s="32" t="b">
        <f t="shared" si="23"/>
        <v>1</v>
      </c>
    </row>
    <row r="457" spans="1:10">
      <c r="A457" s="36">
        <v>150401</v>
      </c>
      <c r="B457" s="37" t="s">
        <v>32</v>
      </c>
      <c r="C457" s="37" t="s">
        <v>496</v>
      </c>
      <c r="D457" s="38" t="str">
        <f>VLOOKUP(B457, Mapping!$A:$B, 2, FALSE)</f>
        <v>東部</v>
      </c>
      <c r="E457" s="38" t="str">
        <f>IFERROR(VLOOKUP(A457, '113_Faraway'!$A:$C, 3,FALSE),"非偏遠")</f>
        <v>非偏遠</v>
      </c>
      <c r="F457" s="33">
        <f>VLOOKUP(A457, '111_Raw'!$B:$D,3,FALSE)</f>
        <v>702</v>
      </c>
      <c r="G457" s="33">
        <f>VLOOKUP(A457, '113_Raw'!$B:$D,3,FALSE)</f>
        <v>599</v>
      </c>
      <c r="H457" s="35">
        <f t="shared" si="22"/>
        <v>-0.14699999999999999</v>
      </c>
      <c r="I457" s="38" t="str">
        <f t="shared" si="21"/>
        <v>明顯下降</v>
      </c>
      <c r="J457" s="32" t="b">
        <f t="shared" si="23"/>
        <v>1</v>
      </c>
    </row>
    <row r="458" spans="1:10">
      <c r="A458" s="36">
        <v>150404</v>
      </c>
      <c r="B458" s="37" t="s">
        <v>32</v>
      </c>
      <c r="C458" s="37" t="s">
        <v>497</v>
      </c>
      <c r="D458" s="38" t="str">
        <f>VLOOKUP(B458, Mapping!$A:$B, 2, FALSE)</f>
        <v>東部</v>
      </c>
      <c r="E458" s="38" t="str">
        <f>IFERROR(VLOOKUP(A458, '113_Faraway'!$A:$C, 3,FALSE),"非偏遠")</f>
        <v>非偏遠</v>
      </c>
      <c r="F458" s="33">
        <f>VLOOKUP(A458, '111_Raw'!$B:$D,3,FALSE)</f>
        <v>1024</v>
      </c>
      <c r="G458" s="33">
        <f>VLOOKUP(A458, '113_Raw'!$B:$D,3,FALSE)</f>
        <v>761</v>
      </c>
      <c r="H458" s="35">
        <f t="shared" si="22"/>
        <v>-0.25700000000000001</v>
      </c>
      <c r="I458" s="38" t="str">
        <f t="shared" si="21"/>
        <v>明顯下降</v>
      </c>
      <c r="J458" s="32" t="b">
        <f t="shared" si="23"/>
        <v>1</v>
      </c>
    </row>
    <row r="459" spans="1:10">
      <c r="A459" s="36">
        <v>150405</v>
      </c>
      <c r="B459" s="37" t="s">
        <v>32</v>
      </c>
      <c r="C459" s="37" t="s">
        <v>498</v>
      </c>
      <c r="D459" s="38" t="str">
        <f>VLOOKUP(B459, Mapping!$A:$B, 2, FALSE)</f>
        <v>東部</v>
      </c>
      <c r="E459" s="38" t="str">
        <f>IFERROR(VLOOKUP(A459, '113_Faraway'!$A:$C, 3,FALSE),"非偏遠")</f>
        <v>非偏遠</v>
      </c>
      <c r="F459" s="33">
        <f>VLOOKUP(A459, '111_Raw'!$B:$D,3,FALSE)</f>
        <v>864</v>
      </c>
      <c r="G459" s="33">
        <f>VLOOKUP(A459, '113_Raw'!$B:$D,3,FALSE)</f>
        <v>771</v>
      </c>
      <c r="H459" s="35">
        <f t="shared" si="22"/>
        <v>-0.108</v>
      </c>
      <c r="I459" s="38" t="str">
        <f t="shared" si="21"/>
        <v>明顯下降</v>
      </c>
      <c r="J459" s="32" t="b">
        <f t="shared" si="23"/>
        <v>1</v>
      </c>
    </row>
    <row r="460" spans="1:10">
      <c r="A460" s="36">
        <v>150411</v>
      </c>
      <c r="B460" s="37" t="s">
        <v>32</v>
      </c>
      <c r="C460" s="37" t="s">
        <v>499</v>
      </c>
      <c r="D460" s="38" t="str">
        <f>VLOOKUP(B460, Mapping!$A:$B, 2, FALSE)</f>
        <v>東部</v>
      </c>
      <c r="E460" s="38" t="str">
        <f>IFERROR(VLOOKUP(A460, '113_Faraway'!$A:$C, 3,FALSE),"非偏遠")</f>
        <v>偏遠</v>
      </c>
      <c r="F460" s="33">
        <f>VLOOKUP(A460, '111_Raw'!$B:$D,3,FALSE)</f>
        <v>198</v>
      </c>
      <c r="G460" s="33">
        <f>VLOOKUP(A460, '113_Raw'!$B:$D,3,FALSE)</f>
        <v>169</v>
      </c>
      <c r="H460" s="35">
        <f t="shared" si="22"/>
        <v>-0.14599999999999999</v>
      </c>
      <c r="I460" s="38" t="str">
        <f t="shared" si="21"/>
        <v>明顯下降</v>
      </c>
      <c r="J460" s="32" t="b">
        <f t="shared" si="23"/>
        <v>1</v>
      </c>
    </row>
    <row r="461" spans="1:10">
      <c r="A461" s="36">
        <v>151410</v>
      </c>
      <c r="B461" s="37" t="s">
        <v>32</v>
      </c>
      <c r="C461" s="37" t="s">
        <v>500</v>
      </c>
      <c r="D461" s="38" t="str">
        <f>VLOOKUP(B461, Mapping!$A:$B, 2, FALSE)</f>
        <v>東部</v>
      </c>
      <c r="E461" s="38" t="str">
        <f>IFERROR(VLOOKUP(A461, '113_Faraway'!$A:$C, 3,FALSE),"非偏遠")</f>
        <v>非偏遠</v>
      </c>
      <c r="F461" s="33">
        <f>VLOOKUP(A461, '111_Raw'!$B:$D,3,FALSE)</f>
        <v>335</v>
      </c>
      <c r="G461" s="33">
        <f>VLOOKUP(A461, '113_Raw'!$B:$D,3,FALSE)</f>
        <v>257</v>
      </c>
      <c r="H461" s="35">
        <f t="shared" si="22"/>
        <v>-0.23300000000000001</v>
      </c>
      <c r="I461" s="38" t="str">
        <f t="shared" si="21"/>
        <v>明顯下降</v>
      </c>
      <c r="J461" s="32" t="b">
        <f t="shared" si="23"/>
        <v>1</v>
      </c>
    </row>
    <row r="462" spans="1:10">
      <c r="A462" s="36">
        <v>160401</v>
      </c>
      <c r="B462" s="37" t="s">
        <v>33</v>
      </c>
      <c r="C462" s="37" t="s">
        <v>501</v>
      </c>
      <c r="D462" s="38" t="str">
        <f>VLOOKUP(B462, Mapping!$A:$B, 2, FALSE)</f>
        <v>離島</v>
      </c>
      <c r="E462" s="38" t="str">
        <f>IFERROR(VLOOKUP(A462, '113_Faraway'!$A:$C, 3,FALSE),"非偏遠")</f>
        <v>偏遠</v>
      </c>
      <c r="F462" s="33">
        <f>VLOOKUP(A462, '111_Raw'!$B:$D,3,FALSE)</f>
        <v>727</v>
      </c>
      <c r="G462" s="33">
        <f>VLOOKUP(A462, '113_Raw'!$B:$D,3,FALSE)</f>
        <v>556</v>
      </c>
      <c r="H462" s="35">
        <f t="shared" si="22"/>
        <v>-0.23499999999999999</v>
      </c>
      <c r="I462" s="38" t="str">
        <f t="shared" si="21"/>
        <v>明顯下降</v>
      </c>
      <c r="J462" s="32" t="b">
        <f t="shared" si="23"/>
        <v>1</v>
      </c>
    </row>
    <row r="463" spans="1:10">
      <c r="A463" s="36">
        <v>170403</v>
      </c>
      <c r="B463" s="37" t="s">
        <v>34</v>
      </c>
      <c r="C463" s="37" t="s">
        <v>502</v>
      </c>
      <c r="D463" s="38" t="str">
        <f>VLOOKUP(B463, Mapping!$A:$B, 2, FALSE)</f>
        <v>北部</v>
      </c>
      <c r="E463" s="38" t="str">
        <f>IFERROR(VLOOKUP(A463, '113_Faraway'!$A:$C, 3,FALSE),"非偏遠")</f>
        <v>非偏遠</v>
      </c>
      <c r="F463" s="33">
        <f>VLOOKUP(A463, '111_Raw'!$B:$D,3,FALSE)</f>
        <v>1024</v>
      </c>
      <c r="G463" s="33">
        <f>VLOOKUP(A463, '113_Raw'!$B:$D,3,FALSE)</f>
        <v>998</v>
      </c>
      <c r="H463" s="35">
        <f t="shared" si="22"/>
        <v>-2.5000000000000001E-2</v>
      </c>
      <c r="I463" s="38" t="str">
        <f t="shared" si="21"/>
        <v>小幅下降</v>
      </c>
      <c r="J463" s="32" t="b">
        <f t="shared" si="23"/>
        <v>1</v>
      </c>
    </row>
    <row r="464" spans="1:10">
      <c r="A464" s="36">
        <v>170404</v>
      </c>
      <c r="B464" s="37" t="s">
        <v>34</v>
      </c>
      <c r="C464" s="37" t="s">
        <v>503</v>
      </c>
      <c r="D464" s="38" t="str">
        <f>VLOOKUP(B464, Mapping!$A:$B, 2, FALSE)</f>
        <v>北部</v>
      </c>
      <c r="E464" s="38" t="str">
        <f>IFERROR(VLOOKUP(A464, '113_Faraway'!$A:$C, 3,FALSE),"非偏遠")</f>
        <v>非偏遠</v>
      </c>
      <c r="F464" s="33">
        <f>VLOOKUP(A464, '111_Raw'!$B:$D,3,FALSE)</f>
        <v>1327</v>
      </c>
      <c r="G464" s="33">
        <f>VLOOKUP(A464, '113_Raw'!$B:$D,3,FALSE)</f>
        <v>1187</v>
      </c>
      <c r="H464" s="35">
        <f t="shared" si="22"/>
        <v>-0.106</v>
      </c>
      <c r="I464" s="38" t="str">
        <f t="shared" si="21"/>
        <v>明顯下降</v>
      </c>
      <c r="J464" s="32" t="b">
        <f t="shared" si="23"/>
        <v>1</v>
      </c>
    </row>
    <row r="465" spans="1:10">
      <c r="A465" s="36">
        <v>171405</v>
      </c>
      <c r="B465" s="37" t="s">
        <v>34</v>
      </c>
      <c r="C465" s="37" t="s">
        <v>504</v>
      </c>
      <c r="D465" s="38" t="str">
        <f>VLOOKUP(B465, Mapping!$A:$B, 2, FALSE)</f>
        <v>北部</v>
      </c>
      <c r="E465" s="38" t="str">
        <f>IFERROR(VLOOKUP(A465, '113_Faraway'!$A:$C, 3,FALSE),"非偏遠")</f>
        <v>非偏遠</v>
      </c>
      <c r="F465" s="33">
        <f>VLOOKUP(A465, '111_Raw'!$B:$D,3,FALSE)</f>
        <v>238</v>
      </c>
      <c r="G465" s="33">
        <f>VLOOKUP(A465, '113_Raw'!$B:$D,3,FALSE)</f>
        <v>130</v>
      </c>
      <c r="H465" s="35">
        <f t="shared" si="22"/>
        <v>-0.45400000000000001</v>
      </c>
      <c r="I465" s="38" t="str">
        <f t="shared" si="21"/>
        <v>明顯下降</v>
      </c>
      <c r="J465" s="32" t="b">
        <f t="shared" si="23"/>
        <v>1</v>
      </c>
    </row>
    <row r="466" spans="1:10">
      <c r="A466" s="36">
        <v>171407</v>
      </c>
      <c r="B466" s="37" t="s">
        <v>34</v>
      </c>
      <c r="C466" s="37" t="s">
        <v>505</v>
      </c>
      <c r="D466" s="38" t="str">
        <f>VLOOKUP(B466, Mapping!$A:$B, 2, FALSE)</f>
        <v>北部</v>
      </c>
      <c r="E466" s="38" t="str">
        <f>IFERROR(VLOOKUP(A466, '113_Faraway'!$A:$C, 3,FALSE),"非偏遠")</f>
        <v>非偏遠</v>
      </c>
      <c r="F466" s="33">
        <f>VLOOKUP(A466, '111_Raw'!$B:$D,3,FALSE)</f>
        <v>104</v>
      </c>
      <c r="G466" s="33">
        <f>VLOOKUP(A466, '113_Raw'!$B:$D,3,FALSE)</f>
        <v>73</v>
      </c>
      <c r="H466" s="35">
        <f t="shared" si="22"/>
        <v>-0.29799999999999999</v>
      </c>
      <c r="I466" s="38" t="str">
        <f t="shared" si="21"/>
        <v>明顯下降</v>
      </c>
      <c r="J466" s="32" t="b">
        <f t="shared" si="23"/>
        <v>1</v>
      </c>
    </row>
    <row r="467" spans="1:10">
      <c r="A467" s="36">
        <v>180403</v>
      </c>
      <c r="B467" s="37" t="s">
        <v>35</v>
      </c>
      <c r="C467" s="37" t="s">
        <v>506</v>
      </c>
      <c r="D467" s="38" t="str">
        <f>VLOOKUP(B467, Mapping!$A:$B, 2, FALSE)</f>
        <v>北部</v>
      </c>
      <c r="E467" s="38" t="str">
        <f>IFERROR(VLOOKUP(A467, '113_Faraway'!$A:$C, 3,FALSE),"非偏遠")</f>
        <v>非偏遠</v>
      </c>
      <c r="F467" s="33">
        <f>VLOOKUP(A467, '111_Raw'!$B:$D,3,FALSE)</f>
        <v>1498</v>
      </c>
      <c r="G467" s="33">
        <f>VLOOKUP(A467, '113_Raw'!$B:$D,3,FALSE)</f>
        <v>1480</v>
      </c>
      <c r="H467" s="35">
        <f t="shared" si="22"/>
        <v>-1.2E-2</v>
      </c>
      <c r="I467" s="38" t="str">
        <f t="shared" si="21"/>
        <v>小幅下降</v>
      </c>
      <c r="J467" s="32" t="b">
        <f t="shared" si="23"/>
        <v>0</v>
      </c>
    </row>
    <row r="468" spans="1:10">
      <c r="A468" s="36">
        <v>180404</v>
      </c>
      <c r="B468" s="37" t="s">
        <v>35</v>
      </c>
      <c r="C468" s="37" t="s">
        <v>507</v>
      </c>
      <c r="D468" s="38" t="str">
        <f>VLOOKUP(B468, Mapping!$A:$B, 2, FALSE)</f>
        <v>北部</v>
      </c>
      <c r="E468" s="38" t="str">
        <f>IFERROR(VLOOKUP(A468, '113_Faraway'!$A:$C, 3,FALSE),"非偏遠")</f>
        <v>非偏遠</v>
      </c>
      <c r="F468" s="33">
        <f>VLOOKUP(A468, '111_Raw'!$B:$D,3,FALSE)</f>
        <v>1514</v>
      </c>
      <c r="G468" s="33">
        <f>VLOOKUP(A468, '113_Raw'!$B:$D,3,FALSE)</f>
        <v>1528</v>
      </c>
      <c r="H468" s="35">
        <f t="shared" si="22"/>
        <v>8.9999999999999993E-3</v>
      </c>
      <c r="I468" s="38" t="str">
        <f t="shared" si="21"/>
        <v>穩定或成長</v>
      </c>
      <c r="J468" s="32" t="b">
        <f t="shared" si="23"/>
        <v>0</v>
      </c>
    </row>
    <row r="469" spans="1:10">
      <c r="A469" s="36">
        <v>190406</v>
      </c>
      <c r="B469" s="37" t="s">
        <v>24</v>
      </c>
      <c r="C469" s="37" t="s">
        <v>508</v>
      </c>
      <c r="D469" s="38" t="str">
        <f>VLOOKUP(B469, Mapping!$A:$B, 2, FALSE)</f>
        <v>中部</v>
      </c>
      <c r="E469" s="38" t="str">
        <f>IFERROR(VLOOKUP(A469, '113_Faraway'!$A:$C, 3,FALSE),"非偏遠")</f>
        <v>非偏遠</v>
      </c>
      <c r="F469" s="33">
        <f>VLOOKUP(A469, '111_Raw'!$B:$D,3,FALSE)</f>
        <v>2133</v>
      </c>
      <c r="G469" s="33">
        <f>VLOOKUP(A469, '113_Raw'!$B:$D,3,FALSE)</f>
        <v>2101</v>
      </c>
      <c r="H469" s="35">
        <f t="shared" si="22"/>
        <v>-1.4999999999999999E-2</v>
      </c>
      <c r="I469" s="38" t="str">
        <f t="shared" si="21"/>
        <v>小幅下降</v>
      </c>
      <c r="J469" s="32" t="b">
        <f t="shared" si="23"/>
        <v>0</v>
      </c>
    </row>
    <row r="470" spans="1:10">
      <c r="A470" s="36">
        <v>191412</v>
      </c>
      <c r="B470" s="37" t="s">
        <v>24</v>
      </c>
      <c r="C470" s="37" t="s">
        <v>509</v>
      </c>
      <c r="D470" s="38" t="str">
        <f>VLOOKUP(B470, Mapping!$A:$B, 2, FALSE)</f>
        <v>中部</v>
      </c>
      <c r="E470" s="38" t="str">
        <f>IFERROR(VLOOKUP(A470, '113_Faraway'!$A:$C, 3,FALSE),"非偏遠")</f>
        <v>非偏遠</v>
      </c>
      <c r="F470" s="33">
        <f>VLOOKUP(A470, '111_Raw'!$B:$D,3,FALSE)</f>
        <v>227</v>
      </c>
      <c r="G470" s="33">
        <f>VLOOKUP(A470, '113_Raw'!$B:$D,3,FALSE)</f>
        <v>104</v>
      </c>
      <c r="H470" s="35">
        <f t="shared" si="22"/>
        <v>-0.54200000000000004</v>
      </c>
      <c r="I470" s="38" t="str">
        <f t="shared" si="21"/>
        <v>明顯下降</v>
      </c>
      <c r="J470" s="32" t="b">
        <f t="shared" si="23"/>
        <v>1</v>
      </c>
    </row>
    <row r="471" spans="1:10">
      <c r="A471" s="36">
        <v>193404</v>
      </c>
      <c r="B471" s="37" t="s">
        <v>24</v>
      </c>
      <c r="C471" s="37" t="s">
        <v>510</v>
      </c>
      <c r="D471" s="38" t="str">
        <f>VLOOKUP(B471, Mapping!$A:$B, 2, FALSE)</f>
        <v>中部</v>
      </c>
      <c r="E471" s="38" t="str">
        <f>IFERROR(VLOOKUP(A471, '113_Faraway'!$A:$C, 3,FALSE),"非偏遠")</f>
        <v>非偏遠</v>
      </c>
      <c r="F471" s="33">
        <f>VLOOKUP(A471, '111_Raw'!$B:$D,3,FALSE)</f>
        <v>2079</v>
      </c>
      <c r="G471" s="33">
        <f>VLOOKUP(A471, '113_Raw'!$B:$D,3,FALSE)</f>
        <v>2041</v>
      </c>
      <c r="H471" s="35">
        <f t="shared" si="22"/>
        <v>-1.7999999999999999E-2</v>
      </c>
      <c r="I471" s="38" t="str">
        <f t="shared" si="21"/>
        <v>小幅下降</v>
      </c>
      <c r="J471" s="32" t="b">
        <f t="shared" si="23"/>
        <v>1</v>
      </c>
    </row>
    <row r="472" spans="1:10">
      <c r="A472" s="36">
        <v>193407</v>
      </c>
      <c r="B472" s="37" t="s">
        <v>24</v>
      </c>
      <c r="C472" s="37" t="s">
        <v>511</v>
      </c>
      <c r="D472" s="38" t="str">
        <f>VLOOKUP(B472, Mapping!$A:$B, 2, FALSE)</f>
        <v>中部</v>
      </c>
      <c r="E472" s="38" t="str">
        <f>IFERROR(VLOOKUP(A472, '113_Faraway'!$A:$C, 3,FALSE),"非偏遠")</f>
        <v>非偏遠</v>
      </c>
      <c r="F472" s="33">
        <f>VLOOKUP(A472, '111_Raw'!$B:$D,3,FALSE)</f>
        <v>3275</v>
      </c>
      <c r="G472" s="33">
        <f>VLOOKUP(A472, '113_Raw'!$B:$D,3,FALSE)</f>
        <v>3168</v>
      </c>
      <c r="H472" s="35">
        <f t="shared" si="22"/>
        <v>-3.3000000000000002E-2</v>
      </c>
      <c r="I472" s="38" t="str">
        <f t="shared" si="21"/>
        <v>小幅下降</v>
      </c>
      <c r="J472" s="32" t="b">
        <f t="shared" si="23"/>
        <v>1</v>
      </c>
    </row>
    <row r="473" spans="1:10">
      <c r="A473" s="36">
        <v>200401</v>
      </c>
      <c r="B473" s="37" t="s">
        <v>36</v>
      </c>
      <c r="C473" s="37" t="s">
        <v>512</v>
      </c>
      <c r="D473" s="38" t="str">
        <f>VLOOKUP(B473, Mapping!$A:$B, 2, FALSE)</f>
        <v>南部</v>
      </c>
      <c r="E473" s="38" t="str">
        <f>IFERROR(VLOOKUP(A473, '113_Faraway'!$A:$C, 3,FALSE),"非偏遠")</f>
        <v>非偏遠</v>
      </c>
      <c r="F473" s="33">
        <f>VLOOKUP(A473, '111_Raw'!$B:$D,3,FALSE)</f>
        <v>1325</v>
      </c>
      <c r="G473" s="33">
        <f>VLOOKUP(A473, '113_Raw'!$B:$D,3,FALSE)</f>
        <v>1223</v>
      </c>
      <c r="H473" s="35">
        <f t="shared" si="22"/>
        <v>-7.6999999999999999E-2</v>
      </c>
      <c r="I473" s="38" t="str">
        <f t="shared" si="21"/>
        <v>明顯下降</v>
      </c>
      <c r="J473" s="32" t="b">
        <f t="shared" si="23"/>
        <v>1</v>
      </c>
    </row>
    <row r="474" spans="1:10">
      <c r="A474" s="36">
        <v>200405</v>
      </c>
      <c r="B474" s="37" t="s">
        <v>36</v>
      </c>
      <c r="C474" s="37" t="s">
        <v>513</v>
      </c>
      <c r="D474" s="38" t="str">
        <f>VLOOKUP(B474, Mapping!$A:$B, 2, FALSE)</f>
        <v>南部</v>
      </c>
      <c r="E474" s="38" t="str">
        <f>IFERROR(VLOOKUP(A474, '113_Faraway'!$A:$C, 3,FALSE),"非偏遠")</f>
        <v>非偏遠</v>
      </c>
      <c r="F474" s="33">
        <f>VLOOKUP(A474, '111_Raw'!$B:$D,3,FALSE)</f>
        <v>2506</v>
      </c>
      <c r="G474" s="33">
        <f>VLOOKUP(A474, '113_Raw'!$B:$D,3,FALSE)</f>
        <v>2356</v>
      </c>
      <c r="H474" s="35">
        <f t="shared" si="22"/>
        <v>-0.06</v>
      </c>
      <c r="I474" s="38" t="str">
        <f t="shared" si="21"/>
        <v>明顯下降</v>
      </c>
      <c r="J474" s="32" t="b">
        <f t="shared" si="23"/>
        <v>1</v>
      </c>
    </row>
    <row r="475" spans="1:10">
      <c r="A475" s="36">
        <v>200406</v>
      </c>
      <c r="B475" s="37" t="s">
        <v>36</v>
      </c>
      <c r="C475" s="37" t="s">
        <v>514</v>
      </c>
      <c r="D475" s="38" t="str">
        <f>VLOOKUP(B475, Mapping!$A:$B, 2, FALSE)</f>
        <v>南部</v>
      </c>
      <c r="E475" s="38" t="str">
        <f>IFERROR(VLOOKUP(A475, '113_Faraway'!$A:$C, 3,FALSE),"非偏遠")</f>
        <v>非偏遠</v>
      </c>
      <c r="F475" s="33">
        <f>VLOOKUP(A475, '111_Raw'!$B:$D,3,FALSE)</f>
        <v>1414</v>
      </c>
      <c r="G475" s="33">
        <f>VLOOKUP(A475, '113_Raw'!$B:$D,3,FALSE)</f>
        <v>1352</v>
      </c>
      <c r="H475" s="35">
        <f t="shared" si="22"/>
        <v>-4.3999999999999997E-2</v>
      </c>
      <c r="I475" s="38" t="str">
        <f t="shared" si="21"/>
        <v>小幅下降</v>
      </c>
      <c r="J475" s="32" t="b">
        <f t="shared" si="23"/>
        <v>1</v>
      </c>
    </row>
    <row r="476" spans="1:10">
      <c r="A476" s="36">
        <v>200407</v>
      </c>
      <c r="B476" s="37" t="s">
        <v>36</v>
      </c>
      <c r="C476" s="37" t="s">
        <v>515</v>
      </c>
      <c r="D476" s="38" t="str">
        <f>VLOOKUP(B476, Mapping!$A:$B, 2, FALSE)</f>
        <v>南部</v>
      </c>
      <c r="E476" s="38" t="str">
        <f>IFERROR(VLOOKUP(A476, '113_Faraway'!$A:$C, 3,FALSE),"非偏遠")</f>
        <v>非偏遠</v>
      </c>
      <c r="F476" s="33">
        <f>VLOOKUP(A476, '111_Raw'!$B:$D,3,FALSE)</f>
        <v>1051</v>
      </c>
      <c r="G476" s="33">
        <f>VLOOKUP(A476, '113_Raw'!$B:$D,3,FALSE)</f>
        <v>997</v>
      </c>
      <c r="H476" s="35">
        <f t="shared" si="22"/>
        <v>-5.0999999999999997E-2</v>
      </c>
      <c r="I476" s="38" t="str">
        <f t="shared" si="21"/>
        <v>明顯下降</v>
      </c>
      <c r="J476" s="32" t="b">
        <f t="shared" si="23"/>
        <v>1</v>
      </c>
    </row>
    <row r="477" spans="1:10">
      <c r="A477" s="36">
        <v>201408</v>
      </c>
      <c r="B477" s="37" t="s">
        <v>36</v>
      </c>
      <c r="C477" s="37" t="s">
        <v>516</v>
      </c>
      <c r="D477" s="38" t="str">
        <f>VLOOKUP(B477, Mapping!$A:$B, 2, FALSE)</f>
        <v>南部</v>
      </c>
      <c r="E477" s="38" t="str">
        <f>IFERROR(VLOOKUP(A477, '113_Faraway'!$A:$C, 3,FALSE),"非偏遠")</f>
        <v>非偏遠</v>
      </c>
      <c r="F477" s="33">
        <f>VLOOKUP(A477, '111_Raw'!$B:$D,3,FALSE)</f>
        <v>2195</v>
      </c>
      <c r="G477" s="33">
        <f>VLOOKUP(A477, '113_Raw'!$B:$D,3,FALSE)</f>
        <v>2089</v>
      </c>
      <c r="H477" s="35">
        <f t="shared" si="22"/>
        <v>-4.8000000000000001E-2</v>
      </c>
      <c r="I477" s="38" t="str">
        <f t="shared" si="21"/>
        <v>小幅下降</v>
      </c>
      <c r="J477" s="32" t="b">
        <f t="shared" si="23"/>
        <v>1</v>
      </c>
    </row>
    <row r="478" spans="1:10">
      <c r="A478" s="36">
        <v>210408</v>
      </c>
      <c r="B478" s="37" t="s">
        <v>29</v>
      </c>
      <c r="C478" s="37" t="s">
        <v>517</v>
      </c>
      <c r="D478" s="38" t="str">
        <f>VLOOKUP(B478, Mapping!$A:$B, 2, FALSE)</f>
        <v>南部</v>
      </c>
      <c r="E478" s="38" t="str">
        <f>IFERROR(VLOOKUP(A478, '113_Faraway'!$A:$C, 3,FALSE),"非偏遠")</f>
        <v>非偏遠</v>
      </c>
      <c r="F478" s="33">
        <f>VLOOKUP(A478, '111_Raw'!$B:$D,3,FALSE)</f>
        <v>1853</v>
      </c>
      <c r="G478" s="33">
        <f>VLOOKUP(A478, '113_Raw'!$B:$D,3,FALSE)</f>
        <v>1798</v>
      </c>
      <c r="H478" s="35">
        <f t="shared" si="22"/>
        <v>-0.03</v>
      </c>
      <c r="I478" s="38" t="str">
        <f t="shared" si="21"/>
        <v>小幅下降</v>
      </c>
      <c r="J478" s="32" t="b">
        <f t="shared" si="23"/>
        <v>1</v>
      </c>
    </row>
    <row r="479" spans="1:10">
      <c r="A479" s="36">
        <v>210416</v>
      </c>
      <c r="B479" s="37" t="s">
        <v>29</v>
      </c>
      <c r="C479" s="37" t="s">
        <v>518</v>
      </c>
      <c r="D479" s="38" t="str">
        <f>VLOOKUP(B479, Mapping!$A:$B, 2, FALSE)</f>
        <v>南部</v>
      </c>
      <c r="E479" s="38" t="str">
        <f>IFERROR(VLOOKUP(A479, '113_Faraway'!$A:$C, 3,FALSE),"非偏遠")</f>
        <v>非偏遠</v>
      </c>
      <c r="F479" s="33">
        <f>VLOOKUP(A479, '111_Raw'!$B:$D,3,FALSE)</f>
        <v>886</v>
      </c>
      <c r="G479" s="33">
        <f>VLOOKUP(A479, '113_Raw'!$B:$D,3,FALSE)</f>
        <v>859</v>
      </c>
      <c r="H479" s="35">
        <f t="shared" si="22"/>
        <v>-0.03</v>
      </c>
      <c r="I479" s="38" t="str">
        <f t="shared" si="21"/>
        <v>小幅下降</v>
      </c>
      <c r="J479" s="32" t="b">
        <f t="shared" si="23"/>
        <v>1</v>
      </c>
    </row>
    <row r="480" spans="1:10">
      <c r="A480" s="36">
        <v>211407</v>
      </c>
      <c r="B480" s="37" t="s">
        <v>29</v>
      </c>
      <c r="C480" s="37" t="s">
        <v>519</v>
      </c>
      <c r="D480" s="38" t="str">
        <f>VLOOKUP(B480, Mapping!$A:$B, 2, FALSE)</f>
        <v>南部</v>
      </c>
      <c r="E480" s="38" t="str">
        <f>IFERROR(VLOOKUP(A480, '113_Faraway'!$A:$C, 3,FALSE),"非偏遠")</f>
        <v>非偏遠</v>
      </c>
      <c r="F480" s="33">
        <f>VLOOKUP(A480, '111_Raw'!$B:$D,3,FALSE)</f>
        <v>892</v>
      </c>
      <c r="G480" s="33">
        <f>VLOOKUP(A480, '113_Raw'!$B:$D,3,FALSE)</f>
        <v>876</v>
      </c>
      <c r="H480" s="35">
        <f t="shared" si="22"/>
        <v>-1.7999999999999999E-2</v>
      </c>
      <c r="I480" s="38" t="str">
        <f t="shared" si="21"/>
        <v>小幅下降</v>
      </c>
      <c r="J480" s="32" t="b">
        <f t="shared" si="23"/>
        <v>1</v>
      </c>
    </row>
    <row r="481" spans="1:10">
      <c r="A481" s="36">
        <v>211412</v>
      </c>
      <c r="B481" s="37" t="s">
        <v>29</v>
      </c>
      <c r="C481" s="37" t="s">
        <v>520</v>
      </c>
      <c r="D481" s="38" t="str">
        <f>VLOOKUP(B481, Mapping!$A:$B, 2, FALSE)</f>
        <v>南部</v>
      </c>
      <c r="E481" s="38" t="str">
        <f>IFERROR(VLOOKUP(A481, '113_Faraway'!$A:$C, 3,FALSE),"非偏遠")</f>
        <v>非偏遠</v>
      </c>
      <c r="F481" s="33">
        <f>VLOOKUP(A481, '111_Raw'!$B:$D,3,FALSE)</f>
        <v>654</v>
      </c>
      <c r="G481" s="33">
        <f>VLOOKUP(A481, '113_Raw'!$B:$D,3,FALSE)</f>
        <v>785</v>
      </c>
      <c r="H481" s="35">
        <f t="shared" si="22"/>
        <v>0.2</v>
      </c>
      <c r="I481" s="38" t="str">
        <f t="shared" si="21"/>
        <v>穩定或成長</v>
      </c>
      <c r="J481" s="32" t="b">
        <f t="shared" si="23"/>
        <v>0</v>
      </c>
    </row>
    <row r="482" spans="1:10">
      <c r="A482" s="36">
        <v>211419</v>
      </c>
      <c r="B482" s="37" t="s">
        <v>29</v>
      </c>
      <c r="C482" s="37" t="s">
        <v>521</v>
      </c>
      <c r="D482" s="38" t="str">
        <f>VLOOKUP(B482, Mapping!$A:$B, 2, FALSE)</f>
        <v>南部</v>
      </c>
      <c r="E482" s="38" t="str">
        <f>IFERROR(VLOOKUP(A482, '113_Faraway'!$A:$C, 3,FALSE),"非偏遠")</f>
        <v>非偏遠</v>
      </c>
      <c r="F482" s="33">
        <f>VLOOKUP(A482, '111_Raw'!$B:$D,3,FALSE)</f>
        <v>802</v>
      </c>
      <c r="G482" s="33">
        <f>VLOOKUP(A482, '113_Raw'!$B:$D,3,FALSE)</f>
        <v>654</v>
      </c>
      <c r="H482" s="35">
        <f t="shared" si="22"/>
        <v>-0.185</v>
      </c>
      <c r="I482" s="38" t="str">
        <f t="shared" si="21"/>
        <v>明顯下降</v>
      </c>
      <c r="J482" s="32" t="b">
        <f t="shared" si="23"/>
        <v>1</v>
      </c>
    </row>
    <row r="483" spans="1:10">
      <c r="A483" s="36">
        <v>311401</v>
      </c>
      <c r="B483" s="37" t="s">
        <v>17</v>
      </c>
      <c r="C483" s="37" t="s">
        <v>623</v>
      </c>
      <c r="D483" s="38" t="str">
        <f>VLOOKUP(B483, Mapping!$A:$B, 2, FALSE)</f>
        <v>北部</v>
      </c>
      <c r="E483" s="38" t="str">
        <f>IFERROR(VLOOKUP(A483, '113_Faraway'!$A:$C, 3,FALSE),"非偏遠")</f>
        <v>非偏遠</v>
      </c>
      <c r="F483" s="33">
        <f>VLOOKUP(A483, '111_Raw'!$B:$D,3,FALSE)</f>
        <v>1511</v>
      </c>
      <c r="G483" s="33">
        <f>VLOOKUP(A483, '113_Raw'!$B:$D,3,FALSE)</f>
        <v>1629</v>
      </c>
      <c r="H483" s="35">
        <f t="shared" si="22"/>
        <v>7.8E-2</v>
      </c>
      <c r="I483" s="38" t="str">
        <f t="shared" si="21"/>
        <v>穩定或成長</v>
      </c>
      <c r="J483" s="32" t="b">
        <f t="shared" si="23"/>
        <v>0</v>
      </c>
    </row>
    <row r="484" spans="1:10">
      <c r="A484" s="36">
        <v>323401</v>
      </c>
      <c r="B484" s="37" t="s">
        <v>17</v>
      </c>
      <c r="C484" s="37" t="s">
        <v>523</v>
      </c>
      <c r="D484" s="38" t="str">
        <f>VLOOKUP(B484, Mapping!$A:$B, 2, FALSE)</f>
        <v>北部</v>
      </c>
      <c r="E484" s="38" t="str">
        <f>IFERROR(VLOOKUP(A484, '113_Faraway'!$A:$C, 3,FALSE),"非偏遠")</f>
        <v>非偏遠</v>
      </c>
      <c r="F484" s="33">
        <f>VLOOKUP(A484, '111_Raw'!$B:$D,3,FALSE)</f>
        <v>1845</v>
      </c>
      <c r="G484" s="33">
        <f>VLOOKUP(A484, '113_Raw'!$B:$D,3,FALSE)</f>
        <v>1822</v>
      </c>
      <c r="H484" s="35">
        <f t="shared" si="22"/>
        <v>-1.2E-2</v>
      </c>
      <c r="I484" s="38" t="str">
        <f t="shared" si="21"/>
        <v>小幅下降</v>
      </c>
      <c r="J484" s="32" t="b">
        <f t="shared" si="23"/>
        <v>0</v>
      </c>
    </row>
    <row r="485" spans="1:10">
      <c r="A485" s="36">
        <v>323402</v>
      </c>
      <c r="B485" s="37" t="s">
        <v>17</v>
      </c>
      <c r="C485" s="37" t="s">
        <v>524</v>
      </c>
      <c r="D485" s="38" t="str">
        <f>VLOOKUP(B485, Mapping!$A:$B, 2, FALSE)</f>
        <v>北部</v>
      </c>
      <c r="E485" s="38" t="str">
        <f>IFERROR(VLOOKUP(A485, '113_Faraway'!$A:$C, 3,FALSE),"非偏遠")</f>
        <v>非偏遠</v>
      </c>
      <c r="F485" s="33">
        <f>VLOOKUP(A485, '111_Raw'!$B:$D,3,FALSE)</f>
        <v>2170</v>
      </c>
      <c r="G485" s="33">
        <f>VLOOKUP(A485, '113_Raw'!$B:$D,3,FALSE)</f>
        <v>2183</v>
      </c>
      <c r="H485" s="35">
        <f t="shared" si="22"/>
        <v>6.0000000000000001E-3</v>
      </c>
      <c r="I485" s="38" t="str">
        <f t="shared" si="21"/>
        <v>穩定或成長</v>
      </c>
      <c r="J485" s="32" t="b">
        <f t="shared" si="23"/>
        <v>0</v>
      </c>
    </row>
    <row r="486" spans="1:10">
      <c r="A486" s="36">
        <v>331402</v>
      </c>
      <c r="B486" s="37" t="s">
        <v>17</v>
      </c>
      <c r="C486" s="37" t="s">
        <v>525</v>
      </c>
      <c r="D486" s="38" t="str">
        <f>VLOOKUP(B486, Mapping!$A:$B, 2, FALSE)</f>
        <v>北部</v>
      </c>
      <c r="E486" s="38" t="str">
        <f>IFERROR(VLOOKUP(A486, '113_Faraway'!$A:$C, 3,FALSE),"非偏遠")</f>
        <v>非偏遠</v>
      </c>
      <c r="F486" s="33">
        <f>VLOOKUP(A486, '111_Raw'!$B:$D,3,FALSE)</f>
        <v>52</v>
      </c>
      <c r="G486" s="33">
        <f>VLOOKUP(A486, '113_Raw'!$B:$D,3,FALSE)</f>
        <v>51</v>
      </c>
      <c r="H486" s="35">
        <f t="shared" si="22"/>
        <v>-1.9E-2</v>
      </c>
      <c r="I486" s="38" t="str">
        <f t="shared" si="21"/>
        <v>小幅下降</v>
      </c>
      <c r="J486" s="32" t="b">
        <f t="shared" si="23"/>
        <v>1</v>
      </c>
    </row>
    <row r="487" spans="1:10">
      <c r="A487" s="36">
        <v>331403</v>
      </c>
      <c r="B487" s="37" t="s">
        <v>17</v>
      </c>
      <c r="C487" s="37" t="s">
        <v>526</v>
      </c>
      <c r="D487" s="38" t="str">
        <f>VLOOKUP(B487, Mapping!$A:$B, 2, FALSE)</f>
        <v>北部</v>
      </c>
      <c r="E487" s="38" t="str">
        <f>IFERROR(VLOOKUP(A487, '113_Faraway'!$A:$C, 3,FALSE),"非偏遠")</f>
        <v>非偏遠</v>
      </c>
      <c r="F487" s="33">
        <f>VLOOKUP(A487, '111_Raw'!$B:$D,3,FALSE)</f>
        <v>234</v>
      </c>
      <c r="G487" s="33">
        <f>VLOOKUP(A487, '113_Raw'!$B:$D,3,FALSE)</f>
        <v>258</v>
      </c>
      <c r="H487" s="35">
        <f t="shared" si="22"/>
        <v>0.10299999999999999</v>
      </c>
      <c r="I487" s="38" t="str">
        <f t="shared" si="21"/>
        <v>穩定或成長</v>
      </c>
      <c r="J487" s="32" t="b">
        <f t="shared" si="23"/>
        <v>0</v>
      </c>
    </row>
    <row r="488" spans="1:10">
      <c r="A488" s="36">
        <v>331404</v>
      </c>
      <c r="B488" s="37" t="s">
        <v>17</v>
      </c>
      <c r="C488" s="37" t="s">
        <v>527</v>
      </c>
      <c r="D488" s="38" t="str">
        <f>VLOOKUP(B488, Mapping!$A:$B, 2, FALSE)</f>
        <v>北部</v>
      </c>
      <c r="E488" s="38" t="str">
        <f>IFERROR(VLOOKUP(A488, '113_Faraway'!$A:$C, 3,FALSE),"非偏遠")</f>
        <v>非偏遠</v>
      </c>
      <c r="F488" s="33">
        <f>VLOOKUP(A488, '111_Raw'!$B:$D,3,FALSE)</f>
        <v>764</v>
      </c>
      <c r="G488" s="33">
        <f>VLOOKUP(A488, '113_Raw'!$B:$D,3,FALSE)</f>
        <v>589</v>
      </c>
      <c r="H488" s="35">
        <f t="shared" si="22"/>
        <v>-0.22900000000000001</v>
      </c>
      <c r="I488" s="38" t="str">
        <f t="shared" si="21"/>
        <v>明顯下降</v>
      </c>
      <c r="J488" s="32" t="b">
        <f t="shared" si="23"/>
        <v>1</v>
      </c>
    </row>
    <row r="489" spans="1:10">
      <c r="A489" s="36">
        <v>333401</v>
      </c>
      <c r="B489" s="37" t="s">
        <v>17</v>
      </c>
      <c r="C489" s="37" t="s">
        <v>528</v>
      </c>
      <c r="D489" s="38" t="str">
        <f>VLOOKUP(B489, Mapping!$A:$B, 2, FALSE)</f>
        <v>北部</v>
      </c>
      <c r="E489" s="38" t="str">
        <f>IFERROR(VLOOKUP(A489, '113_Faraway'!$A:$C, 3,FALSE),"非偏遠")</f>
        <v>非偏遠</v>
      </c>
      <c r="F489" s="33">
        <f>VLOOKUP(A489, '111_Raw'!$B:$D,3,FALSE)</f>
        <v>2923</v>
      </c>
      <c r="G489" s="33">
        <f>VLOOKUP(A489, '113_Raw'!$B:$D,3,FALSE)</f>
        <v>2933</v>
      </c>
      <c r="H489" s="35">
        <f t="shared" si="22"/>
        <v>3.0000000000000001E-3</v>
      </c>
      <c r="I489" s="38" t="str">
        <f t="shared" si="21"/>
        <v>穩定或成長</v>
      </c>
      <c r="J489" s="32" t="b">
        <f t="shared" si="23"/>
        <v>0</v>
      </c>
    </row>
    <row r="490" spans="1:10">
      <c r="A490" s="36">
        <v>341402</v>
      </c>
      <c r="B490" s="37" t="s">
        <v>17</v>
      </c>
      <c r="C490" s="37" t="s">
        <v>529</v>
      </c>
      <c r="D490" s="38" t="str">
        <f>VLOOKUP(B490, Mapping!$A:$B, 2, FALSE)</f>
        <v>北部</v>
      </c>
      <c r="E490" s="38" t="str">
        <f>IFERROR(VLOOKUP(A490, '113_Faraway'!$A:$C, 3,FALSE),"非偏遠")</f>
        <v>非偏遠</v>
      </c>
      <c r="F490" s="33">
        <f>VLOOKUP(A490, '111_Raw'!$B:$D,3,FALSE)</f>
        <v>1001</v>
      </c>
      <c r="G490" s="33">
        <f>VLOOKUP(A490, '113_Raw'!$B:$D,3,FALSE)</f>
        <v>1036</v>
      </c>
      <c r="H490" s="35">
        <f t="shared" si="22"/>
        <v>3.5000000000000003E-2</v>
      </c>
      <c r="I490" s="38" t="str">
        <f t="shared" si="21"/>
        <v>穩定或成長</v>
      </c>
      <c r="J490" s="32" t="b">
        <f t="shared" si="23"/>
        <v>0</v>
      </c>
    </row>
    <row r="491" spans="1:10">
      <c r="A491" s="36">
        <v>351402</v>
      </c>
      <c r="B491" s="37" t="s">
        <v>17</v>
      </c>
      <c r="C491" s="37" t="s">
        <v>530</v>
      </c>
      <c r="D491" s="38" t="str">
        <f>VLOOKUP(B491, Mapping!$A:$B, 2, FALSE)</f>
        <v>北部</v>
      </c>
      <c r="E491" s="38" t="str">
        <f>IFERROR(VLOOKUP(A491, '113_Faraway'!$A:$C, 3,FALSE),"非偏遠")</f>
        <v>非偏遠</v>
      </c>
      <c r="F491" s="33">
        <f>VLOOKUP(A491, '111_Raw'!$B:$D,3,FALSE)</f>
        <v>740</v>
      </c>
      <c r="G491" s="33">
        <f>VLOOKUP(A491, '113_Raw'!$B:$D,3,FALSE)</f>
        <v>1001</v>
      </c>
      <c r="H491" s="35">
        <f t="shared" si="22"/>
        <v>0.35299999999999998</v>
      </c>
      <c r="I491" s="38" t="str">
        <f t="shared" si="21"/>
        <v>穩定或成長</v>
      </c>
      <c r="J491" s="32" t="b">
        <f t="shared" si="23"/>
        <v>0</v>
      </c>
    </row>
    <row r="492" spans="1:10">
      <c r="A492" s="36">
        <v>361401</v>
      </c>
      <c r="B492" s="37" t="s">
        <v>17</v>
      </c>
      <c r="C492" s="37" t="s">
        <v>531</v>
      </c>
      <c r="D492" s="38" t="str">
        <f>VLOOKUP(B492, Mapping!$A:$B, 2, FALSE)</f>
        <v>北部</v>
      </c>
      <c r="E492" s="38" t="str">
        <f>IFERROR(VLOOKUP(A492, '113_Faraway'!$A:$C, 3,FALSE),"非偏遠")</f>
        <v>非偏遠</v>
      </c>
      <c r="F492" s="33">
        <f>VLOOKUP(A492, '111_Raw'!$B:$D,3,FALSE)</f>
        <v>982</v>
      </c>
      <c r="G492" s="33">
        <f>VLOOKUP(A492, '113_Raw'!$B:$D,3,FALSE)</f>
        <v>1026</v>
      </c>
      <c r="H492" s="35">
        <f t="shared" si="22"/>
        <v>4.4999999999999998E-2</v>
      </c>
      <c r="I492" s="38" t="str">
        <f t="shared" si="21"/>
        <v>穩定或成長</v>
      </c>
      <c r="J492" s="32" t="b">
        <f t="shared" si="23"/>
        <v>0</v>
      </c>
    </row>
    <row r="493" spans="1:10">
      <c r="A493" s="36">
        <v>383401</v>
      </c>
      <c r="B493" s="37" t="s">
        <v>17</v>
      </c>
      <c r="C493" s="37" t="s">
        <v>532</v>
      </c>
      <c r="D493" s="38" t="str">
        <f>VLOOKUP(B493, Mapping!$A:$B, 2, FALSE)</f>
        <v>北部</v>
      </c>
      <c r="E493" s="38" t="str">
        <f>IFERROR(VLOOKUP(A493, '113_Faraway'!$A:$C, 3,FALSE),"非偏遠")</f>
        <v>非偏遠</v>
      </c>
      <c r="F493" s="33">
        <f>VLOOKUP(A493, '111_Raw'!$B:$D,3,FALSE)</f>
        <v>1576</v>
      </c>
      <c r="G493" s="33">
        <f>VLOOKUP(A493, '113_Raw'!$B:$D,3,FALSE)</f>
        <v>1591</v>
      </c>
      <c r="H493" s="35">
        <f t="shared" si="22"/>
        <v>0.01</v>
      </c>
      <c r="I493" s="38" t="str">
        <f t="shared" si="21"/>
        <v>穩定或成長</v>
      </c>
      <c r="J493" s="32" t="b">
        <f t="shared" si="23"/>
        <v>0</v>
      </c>
    </row>
    <row r="494" spans="1:10">
      <c r="A494" s="36">
        <v>393401</v>
      </c>
      <c r="B494" s="37" t="s">
        <v>17</v>
      </c>
      <c r="C494" s="37" t="s">
        <v>533</v>
      </c>
      <c r="D494" s="38" t="str">
        <f>VLOOKUP(B494, Mapping!$A:$B, 2, FALSE)</f>
        <v>北部</v>
      </c>
      <c r="E494" s="38" t="str">
        <f>IFERROR(VLOOKUP(A494, '113_Faraway'!$A:$C, 3,FALSE),"非偏遠")</f>
        <v>非偏遠</v>
      </c>
      <c r="F494" s="33">
        <f>VLOOKUP(A494, '111_Raw'!$B:$D,3,FALSE)</f>
        <v>2077</v>
      </c>
      <c r="G494" s="33">
        <f>VLOOKUP(A494, '113_Raw'!$B:$D,3,FALSE)</f>
        <v>2023</v>
      </c>
      <c r="H494" s="35">
        <f t="shared" si="22"/>
        <v>-2.5999999999999999E-2</v>
      </c>
      <c r="I494" s="38" t="str">
        <f t="shared" si="21"/>
        <v>小幅下降</v>
      </c>
      <c r="J494" s="32" t="b">
        <f t="shared" si="23"/>
        <v>1</v>
      </c>
    </row>
    <row r="495" spans="1:10">
      <c r="A495" s="36">
        <v>403401</v>
      </c>
      <c r="B495" s="37" t="s">
        <v>17</v>
      </c>
      <c r="C495" s="37" t="s">
        <v>534</v>
      </c>
      <c r="D495" s="38" t="str">
        <f>VLOOKUP(B495, Mapping!$A:$B, 2, FALSE)</f>
        <v>北部</v>
      </c>
      <c r="E495" s="38" t="str">
        <f>IFERROR(VLOOKUP(A495, '113_Faraway'!$A:$C, 3,FALSE),"非偏遠")</f>
        <v>非偏遠</v>
      </c>
      <c r="F495" s="33">
        <f>VLOOKUP(A495, '111_Raw'!$B:$D,3,FALSE)</f>
        <v>1862</v>
      </c>
      <c r="G495" s="33">
        <f>VLOOKUP(A495, '113_Raw'!$B:$D,3,FALSE)</f>
        <v>1849</v>
      </c>
      <c r="H495" s="35">
        <f t="shared" si="22"/>
        <v>-7.0000000000000001E-3</v>
      </c>
      <c r="I495" s="38" t="str">
        <f t="shared" si="21"/>
        <v>小幅下降</v>
      </c>
      <c r="J495" s="32" t="b">
        <f t="shared" si="23"/>
        <v>0</v>
      </c>
    </row>
    <row r="496" spans="1:10">
      <c r="A496" s="36">
        <v>411401</v>
      </c>
      <c r="B496" s="37" t="s">
        <v>17</v>
      </c>
      <c r="C496" s="37" t="s">
        <v>535</v>
      </c>
      <c r="D496" s="38" t="str">
        <f>VLOOKUP(B496, Mapping!$A:$B, 2, FALSE)</f>
        <v>北部</v>
      </c>
      <c r="E496" s="38" t="str">
        <f>IFERROR(VLOOKUP(A496, '113_Faraway'!$A:$C, 3,FALSE),"非偏遠")</f>
        <v>非偏遠</v>
      </c>
      <c r="F496" s="33">
        <f>VLOOKUP(A496, '111_Raw'!$B:$D,3,FALSE)</f>
        <v>692</v>
      </c>
      <c r="G496" s="33">
        <f>VLOOKUP(A496, '113_Raw'!$B:$D,3,FALSE)</f>
        <v>689</v>
      </c>
      <c r="H496" s="35">
        <f t="shared" si="22"/>
        <v>-4.0000000000000001E-3</v>
      </c>
      <c r="I496" s="38" t="str">
        <f t="shared" si="21"/>
        <v>小幅下降</v>
      </c>
      <c r="J496" s="32" t="b">
        <f t="shared" si="23"/>
        <v>0</v>
      </c>
    </row>
    <row r="497" spans="1:10">
      <c r="A497" s="36">
        <v>413401</v>
      </c>
      <c r="B497" s="37" t="s">
        <v>17</v>
      </c>
      <c r="C497" s="37" t="s">
        <v>536</v>
      </c>
      <c r="D497" s="38" t="str">
        <f>VLOOKUP(B497, Mapping!$A:$B, 2, FALSE)</f>
        <v>北部</v>
      </c>
      <c r="E497" s="38" t="str">
        <f>IFERROR(VLOOKUP(A497, '113_Faraway'!$A:$C, 3,FALSE),"非偏遠")</f>
        <v>非偏遠</v>
      </c>
      <c r="F497" s="33">
        <f>VLOOKUP(A497, '111_Raw'!$B:$D,3,FALSE)</f>
        <v>2206</v>
      </c>
      <c r="G497" s="33">
        <f>VLOOKUP(A497, '113_Raw'!$B:$D,3,FALSE)</f>
        <v>2111</v>
      </c>
      <c r="H497" s="35">
        <f t="shared" si="22"/>
        <v>-4.2999999999999997E-2</v>
      </c>
      <c r="I497" s="38" t="str">
        <f t="shared" si="21"/>
        <v>小幅下降</v>
      </c>
      <c r="J497" s="32" t="b">
        <f t="shared" si="23"/>
        <v>1</v>
      </c>
    </row>
    <row r="498" spans="1:10">
      <c r="A498" s="36">
        <v>421404</v>
      </c>
      <c r="B498" s="37" t="s">
        <v>17</v>
      </c>
      <c r="C498" s="37" t="s">
        <v>537</v>
      </c>
      <c r="D498" s="38" t="str">
        <f>VLOOKUP(B498, Mapping!$A:$B, 2, FALSE)</f>
        <v>北部</v>
      </c>
      <c r="E498" s="38" t="str">
        <f>IFERROR(VLOOKUP(A498, '113_Faraway'!$A:$C, 3,FALSE),"非偏遠")</f>
        <v>非偏遠</v>
      </c>
      <c r="F498" s="33">
        <f>VLOOKUP(A498, '111_Raw'!$B:$D,3,FALSE)</f>
        <v>493</v>
      </c>
      <c r="G498" s="33">
        <f>VLOOKUP(A498, '113_Raw'!$B:$D,3,FALSE)</f>
        <v>307</v>
      </c>
      <c r="H498" s="35">
        <f t="shared" si="22"/>
        <v>-0.377</v>
      </c>
      <c r="I498" s="38" t="str">
        <f t="shared" si="21"/>
        <v>明顯下降</v>
      </c>
      <c r="J498" s="32" t="b">
        <f t="shared" si="23"/>
        <v>1</v>
      </c>
    </row>
    <row r="499" spans="1:10">
      <c r="A499" s="36">
        <v>521401</v>
      </c>
      <c r="B499" s="37" t="s">
        <v>30</v>
      </c>
      <c r="C499" s="37" t="s">
        <v>538</v>
      </c>
      <c r="D499" s="38" t="str">
        <f>VLOOKUP(B499, Mapping!$A:$B, 2, FALSE)</f>
        <v>南部</v>
      </c>
      <c r="E499" s="38" t="str">
        <f>IFERROR(VLOOKUP(A499, '113_Faraway'!$A:$C, 3,FALSE),"非偏遠")</f>
        <v>非偏遠</v>
      </c>
      <c r="F499" s="33">
        <f>VLOOKUP(A499, '111_Raw'!$B:$D,3,FALSE)</f>
        <v>791</v>
      </c>
      <c r="G499" s="33">
        <f>VLOOKUP(A499, '113_Raw'!$B:$D,3,FALSE)</f>
        <v>610</v>
      </c>
      <c r="H499" s="35">
        <f t="shared" si="22"/>
        <v>-0.22900000000000001</v>
      </c>
      <c r="I499" s="38" t="str">
        <f t="shared" si="21"/>
        <v>明顯下降</v>
      </c>
      <c r="J499" s="32" t="b">
        <f t="shared" si="23"/>
        <v>1</v>
      </c>
    </row>
    <row r="500" spans="1:10">
      <c r="A500" s="36">
        <v>533401</v>
      </c>
      <c r="B500" s="37" t="s">
        <v>30</v>
      </c>
      <c r="C500" s="37" t="s">
        <v>539</v>
      </c>
      <c r="D500" s="38" t="str">
        <f>VLOOKUP(B500, Mapping!$A:$B, 2, FALSE)</f>
        <v>南部</v>
      </c>
      <c r="E500" s="38" t="str">
        <f>IFERROR(VLOOKUP(A500, '113_Faraway'!$A:$C, 3,FALSE),"非偏遠")</f>
        <v>非偏遠</v>
      </c>
      <c r="F500" s="33">
        <f>VLOOKUP(A500, '111_Raw'!$B:$D,3,FALSE)</f>
        <v>1798</v>
      </c>
      <c r="G500" s="33">
        <f>VLOOKUP(A500, '113_Raw'!$B:$D,3,FALSE)</f>
        <v>1697</v>
      </c>
      <c r="H500" s="35">
        <f t="shared" si="22"/>
        <v>-5.6000000000000001E-2</v>
      </c>
      <c r="I500" s="38" t="str">
        <f t="shared" si="21"/>
        <v>明顯下降</v>
      </c>
      <c r="J500" s="32" t="b">
        <f t="shared" si="23"/>
        <v>1</v>
      </c>
    </row>
    <row r="501" spans="1:10">
      <c r="A501" s="36">
        <v>533402</v>
      </c>
      <c r="B501" s="37" t="s">
        <v>30</v>
      </c>
      <c r="C501" s="37" t="s">
        <v>540</v>
      </c>
      <c r="D501" s="38" t="str">
        <f>VLOOKUP(B501, Mapping!$A:$B, 2, FALSE)</f>
        <v>南部</v>
      </c>
      <c r="E501" s="38" t="str">
        <f>IFERROR(VLOOKUP(A501, '113_Faraway'!$A:$C, 3,FALSE),"非偏遠")</f>
        <v>非偏遠</v>
      </c>
      <c r="F501" s="33">
        <f>VLOOKUP(A501, '111_Raw'!$B:$D,3,FALSE)</f>
        <v>1668</v>
      </c>
      <c r="G501" s="33">
        <f>VLOOKUP(A501, '113_Raw'!$B:$D,3,FALSE)</f>
        <v>1672</v>
      </c>
      <c r="H501" s="35">
        <f t="shared" si="22"/>
        <v>2E-3</v>
      </c>
      <c r="I501" s="38" t="str">
        <f t="shared" si="21"/>
        <v>穩定或成長</v>
      </c>
      <c r="J501" s="32" t="b">
        <f t="shared" si="23"/>
        <v>0</v>
      </c>
    </row>
    <row r="502" spans="1:10">
      <c r="A502" s="36">
        <v>551402</v>
      </c>
      <c r="B502" s="37" t="s">
        <v>30</v>
      </c>
      <c r="C502" s="37" t="s">
        <v>541</v>
      </c>
      <c r="D502" s="38" t="str">
        <f>VLOOKUP(B502, Mapping!$A:$B, 2, FALSE)</f>
        <v>南部</v>
      </c>
      <c r="E502" s="38" t="str">
        <f>IFERROR(VLOOKUP(A502, '113_Faraway'!$A:$C, 3,FALSE),"非偏遠")</f>
        <v>非偏遠</v>
      </c>
      <c r="F502" s="33">
        <f>VLOOKUP(A502, '111_Raw'!$B:$D,3,FALSE)</f>
        <v>4026</v>
      </c>
      <c r="G502" s="33">
        <f>VLOOKUP(A502, '113_Raw'!$B:$D,3,FALSE)</f>
        <v>4402</v>
      </c>
      <c r="H502" s="35">
        <f t="shared" si="22"/>
        <v>9.2999999999999999E-2</v>
      </c>
      <c r="I502" s="38" t="str">
        <f t="shared" si="21"/>
        <v>穩定或成長</v>
      </c>
      <c r="J502" s="32" t="b">
        <f t="shared" si="23"/>
        <v>0</v>
      </c>
    </row>
    <row r="503" spans="1:10">
      <c r="A503" s="36">
        <v>553401</v>
      </c>
      <c r="B503" s="37" t="s">
        <v>30</v>
      </c>
      <c r="C503" s="37" t="s">
        <v>542</v>
      </c>
      <c r="D503" s="38" t="str">
        <f>VLOOKUP(B503, Mapping!$A:$B, 2, FALSE)</f>
        <v>南部</v>
      </c>
      <c r="E503" s="38" t="str">
        <f>IFERROR(VLOOKUP(A503, '113_Faraway'!$A:$C, 3,FALSE),"非偏遠")</f>
        <v>非偏遠</v>
      </c>
      <c r="F503" s="33">
        <f>VLOOKUP(A503, '111_Raw'!$B:$D,3,FALSE)</f>
        <v>2550</v>
      </c>
      <c r="G503" s="33">
        <f>VLOOKUP(A503, '113_Raw'!$B:$D,3,FALSE)</f>
        <v>2593</v>
      </c>
      <c r="H503" s="35">
        <f t="shared" si="22"/>
        <v>1.7000000000000001E-2</v>
      </c>
      <c r="I503" s="38" t="str">
        <f t="shared" si="21"/>
        <v>穩定或成長</v>
      </c>
      <c r="J503" s="32" t="b">
        <f t="shared" si="23"/>
        <v>0</v>
      </c>
    </row>
    <row r="504" spans="1:10">
      <c r="A504" s="36">
        <v>563401</v>
      </c>
      <c r="B504" s="37" t="s">
        <v>30</v>
      </c>
      <c r="C504" s="37" t="s">
        <v>543</v>
      </c>
      <c r="D504" s="38" t="str">
        <f>VLOOKUP(B504, Mapping!$A:$B, 2, FALSE)</f>
        <v>南部</v>
      </c>
      <c r="E504" s="38" t="str">
        <f>IFERROR(VLOOKUP(A504, '113_Faraway'!$A:$C, 3,FALSE),"非偏遠")</f>
        <v>非偏遠</v>
      </c>
      <c r="F504" s="33">
        <f>VLOOKUP(A504, '111_Raw'!$B:$D,3,FALSE)</f>
        <v>1751</v>
      </c>
      <c r="G504" s="33">
        <f>VLOOKUP(A504, '113_Raw'!$B:$D,3,FALSE)</f>
        <v>1757</v>
      </c>
      <c r="H504" s="35">
        <f t="shared" si="22"/>
        <v>3.0000000000000001E-3</v>
      </c>
      <c r="I504" s="38" t="str">
        <f t="shared" si="21"/>
        <v>穩定或成長</v>
      </c>
      <c r="J504" s="32" t="b">
        <f t="shared" si="23"/>
        <v>0</v>
      </c>
    </row>
    <row r="505" spans="1:10">
      <c r="A505" s="36">
        <v>581402</v>
      </c>
      <c r="B505" s="37" t="s">
        <v>30</v>
      </c>
      <c r="C505" s="37" t="s">
        <v>545</v>
      </c>
      <c r="D505" s="38" t="str">
        <f>VLOOKUP(B505, Mapping!$A:$B, 2, FALSE)</f>
        <v>南部</v>
      </c>
      <c r="E505" s="38" t="str">
        <f>IFERROR(VLOOKUP(A505, '113_Faraway'!$A:$C, 3,FALSE),"非偏遠")</f>
        <v>非偏遠</v>
      </c>
      <c r="F505" s="33">
        <f>VLOOKUP(A505, '111_Raw'!$B:$D,3,FALSE)</f>
        <v>1842</v>
      </c>
      <c r="G505" s="33">
        <f>VLOOKUP(A505, '113_Raw'!$B:$D,3,FALSE)</f>
        <v>1772</v>
      </c>
      <c r="H505" s="35">
        <f t="shared" si="22"/>
        <v>-3.7999999999999999E-2</v>
      </c>
      <c r="I505" s="38" t="str">
        <f t="shared" si="21"/>
        <v>小幅下降</v>
      </c>
      <c r="J505" s="32" t="b">
        <f t="shared" si="23"/>
        <v>1</v>
      </c>
    </row>
    <row r="506" spans="1:10">
      <c r="A506" s="36">
        <v>593401</v>
      </c>
      <c r="B506" s="37" t="s">
        <v>30</v>
      </c>
      <c r="C506" s="37" t="s">
        <v>546</v>
      </c>
      <c r="D506" s="38" t="str">
        <f>VLOOKUP(B506, Mapping!$A:$B, 2, FALSE)</f>
        <v>南部</v>
      </c>
      <c r="E506" s="38" t="str">
        <f>IFERROR(VLOOKUP(A506, '113_Faraway'!$A:$C, 3,FALSE),"非偏遠")</f>
        <v>非偏遠</v>
      </c>
      <c r="F506" s="33">
        <f>VLOOKUP(A506, '111_Raw'!$B:$D,3,FALSE)</f>
        <v>1970</v>
      </c>
      <c r="G506" s="33">
        <f>VLOOKUP(A506, '113_Raw'!$B:$D,3,FALSE)</f>
        <v>1957</v>
      </c>
      <c r="H506" s="35">
        <f t="shared" si="22"/>
        <v>-7.0000000000000001E-3</v>
      </c>
      <c r="I506" s="38" t="str">
        <f t="shared" si="21"/>
        <v>小幅下降</v>
      </c>
      <c r="J506" s="32" t="b">
        <f t="shared" si="23"/>
        <v>0</v>
      </c>
    </row>
    <row r="507" spans="1:10">
      <c r="A507" s="36">
        <v>610405</v>
      </c>
      <c r="B507" s="37" t="s">
        <v>30</v>
      </c>
      <c r="C507" s="37" t="s">
        <v>547</v>
      </c>
      <c r="D507" s="38" t="str">
        <f>VLOOKUP(B507, Mapping!$A:$B, 2, FALSE)</f>
        <v>南部</v>
      </c>
      <c r="E507" s="38" t="str">
        <f>IFERROR(VLOOKUP(A507, '113_Faraway'!$A:$C, 3,FALSE),"非偏遠")</f>
        <v>非偏遠</v>
      </c>
      <c r="F507" s="33">
        <f>VLOOKUP(A507, '111_Raw'!$B:$D,3,FALSE)</f>
        <v>230</v>
      </c>
      <c r="G507" s="33">
        <f>VLOOKUP(A507, '113_Raw'!$B:$D,3,FALSE)</f>
        <v>247</v>
      </c>
      <c r="H507" s="35">
        <f t="shared" si="22"/>
        <v>7.3999999999999996E-2</v>
      </c>
      <c r="I507" s="38" t="str">
        <f t="shared" si="21"/>
        <v>穩定或成長</v>
      </c>
      <c r="J507" s="32" t="b">
        <f t="shared" si="23"/>
        <v>0</v>
      </c>
    </row>
    <row r="508" spans="1:10">
      <c r="A508" s="36">
        <v>710401</v>
      </c>
      <c r="B508" s="37" t="s">
        <v>37</v>
      </c>
      <c r="C508" s="37" t="s">
        <v>548</v>
      </c>
      <c r="D508" s="38" t="str">
        <f>VLOOKUP(B508, Mapping!$A:$B, 2, FALSE)</f>
        <v>離島</v>
      </c>
      <c r="E508" s="38" t="str">
        <f>IFERROR(VLOOKUP(A508, '113_Faraway'!$A:$C, 3,FALSE),"非偏遠")</f>
        <v>偏遠</v>
      </c>
      <c r="F508" s="33">
        <f>VLOOKUP(A508, '111_Raw'!$B:$D,3,FALSE)</f>
        <v>851</v>
      </c>
      <c r="G508" s="33">
        <f>VLOOKUP(A508, '113_Raw'!$B:$D,3,FALSE)</f>
        <v>842</v>
      </c>
      <c r="H508" s="35">
        <f t="shared" si="22"/>
        <v>-1.0999999999999999E-2</v>
      </c>
      <c r="I508" s="38" t="str">
        <f t="shared" si="21"/>
        <v>小幅下降</v>
      </c>
      <c r="J508" s="32" t="b">
        <f t="shared" si="23"/>
        <v>0</v>
      </c>
    </row>
    <row r="509" spans="1:10">
      <c r="A509" s="36" t="s">
        <v>596</v>
      </c>
      <c r="B509" s="37" t="s">
        <v>17</v>
      </c>
      <c r="C509" s="37" t="s">
        <v>549</v>
      </c>
      <c r="D509" s="38" t="str">
        <f>VLOOKUP(B509, Mapping!$A:$B, 2, FALSE)</f>
        <v>北部</v>
      </c>
      <c r="E509" s="38" t="str">
        <f>IFERROR(VLOOKUP(A509, '113_Faraway'!$A:$C, 3,FALSE),"非偏遠")</f>
        <v>非偏遠</v>
      </c>
      <c r="F509" s="33">
        <f>VLOOKUP(A509, '111_Raw'!$B:$D,3,FALSE)</f>
        <v>470</v>
      </c>
      <c r="G509" s="33">
        <f>VLOOKUP(A509, '113_Raw'!$B:$D,3,FALSE)</f>
        <v>479</v>
      </c>
      <c r="H509" s="35">
        <f t="shared" si="22"/>
        <v>1.9E-2</v>
      </c>
      <c r="I509" s="38" t="str">
        <f t="shared" si="21"/>
        <v>穩定或成長</v>
      </c>
      <c r="J509" s="32" t="b">
        <f t="shared" si="23"/>
        <v>0</v>
      </c>
    </row>
    <row r="510" spans="1:10">
      <c r="A510" s="36" t="s">
        <v>597</v>
      </c>
      <c r="B510" s="37" t="s">
        <v>17</v>
      </c>
      <c r="C510" s="37" t="s">
        <v>550</v>
      </c>
      <c r="D510" s="38" t="str">
        <f>VLOOKUP(B510, Mapping!$A:$B, 2, FALSE)</f>
        <v>北部</v>
      </c>
      <c r="E510" s="38" t="str">
        <f>IFERROR(VLOOKUP(A510, '113_Faraway'!$A:$C, 3,FALSE),"非偏遠")</f>
        <v>非偏遠</v>
      </c>
      <c r="F510" s="33">
        <f>VLOOKUP(A510, '111_Raw'!$B:$D,3,FALSE)</f>
        <v>1328</v>
      </c>
      <c r="G510" s="33">
        <f>VLOOKUP(A510, '113_Raw'!$B:$D,3,FALSE)</f>
        <v>1243</v>
      </c>
      <c r="H510" s="35">
        <f t="shared" si="22"/>
        <v>-6.4000000000000001E-2</v>
      </c>
      <c r="I510" s="38" t="str">
        <f t="shared" ref="I510:I521" si="24">IF(H510&gt;=0,"穩定或成長",IF(H510&gt;-0.05,"小幅下降","明顯下降"))</f>
        <v>明顯下降</v>
      </c>
      <c r="J510" s="32" t="b">
        <f t="shared" si="23"/>
        <v>1</v>
      </c>
    </row>
    <row r="511" spans="1:10">
      <c r="A511" s="39" t="s">
        <v>598</v>
      </c>
      <c r="B511" s="37" t="s">
        <v>19</v>
      </c>
      <c r="C511" s="37" t="s">
        <v>551</v>
      </c>
      <c r="D511" s="38" t="str">
        <f>VLOOKUP(B511, Mapping!$A:$B, 2, FALSE)</f>
        <v>北部</v>
      </c>
      <c r="E511" s="38" t="str">
        <f>IFERROR(VLOOKUP(A511, '113_Faraway'!$A:$C, 3,FALSE),"非偏遠")</f>
        <v>非偏遠</v>
      </c>
      <c r="F511" s="33">
        <f>VLOOKUP(A511, '111_Raw'!$B:$D,3,FALSE)</f>
        <v>435</v>
      </c>
      <c r="G511" s="33">
        <f>VLOOKUP(A511, '113_Raw'!$B:$D,3,FALSE)</f>
        <v>458</v>
      </c>
      <c r="H511" s="35">
        <f t="shared" si="22"/>
        <v>5.2999999999999999E-2</v>
      </c>
      <c r="I511" s="38" t="str">
        <f t="shared" si="24"/>
        <v>穩定或成長</v>
      </c>
      <c r="J511" s="32" t="b">
        <f t="shared" si="23"/>
        <v>0</v>
      </c>
    </row>
    <row r="512" spans="1:10">
      <c r="A512" s="39" t="s">
        <v>600</v>
      </c>
      <c r="B512" s="37" t="s">
        <v>25</v>
      </c>
      <c r="C512" s="37" t="s">
        <v>553</v>
      </c>
      <c r="D512" s="38" t="str">
        <f>VLOOKUP(B512, Mapping!$A:$B, 2, FALSE)</f>
        <v>中部</v>
      </c>
      <c r="E512" s="38" t="str">
        <f>IFERROR(VLOOKUP(A512, '113_Faraway'!$A:$C, 3,FALSE),"非偏遠")</f>
        <v>非偏遠</v>
      </c>
      <c r="F512" s="33">
        <f>VLOOKUP(A512, '111_Raw'!$B:$D,3,FALSE)</f>
        <v>355</v>
      </c>
      <c r="G512" s="33">
        <f>VLOOKUP(A512, '113_Raw'!$B:$D,3,FALSE)</f>
        <v>349</v>
      </c>
      <c r="H512" s="35">
        <f t="shared" si="22"/>
        <v>-1.7000000000000001E-2</v>
      </c>
      <c r="I512" s="38" t="str">
        <f t="shared" si="24"/>
        <v>小幅下降</v>
      </c>
      <c r="J512" s="32" t="b">
        <f t="shared" si="23"/>
        <v>1</v>
      </c>
    </row>
    <row r="513" spans="1:10">
      <c r="A513" s="36" t="s">
        <v>601</v>
      </c>
      <c r="B513" s="37" t="s">
        <v>30</v>
      </c>
      <c r="C513" s="37" t="s">
        <v>554</v>
      </c>
      <c r="D513" s="38" t="str">
        <f>VLOOKUP(B513, Mapping!$A:$B, 2, FALSE)</f>
        <v>南部</v>
      </c>
      <c r="E513" s="38" t="str">
        <f>IFERROR(VLOOKUP(A513, '113_Faraway'!$A:$C, 3,FALSE),"非偏遠")</f>
        <v>非偏遠</v>
      </c>
      <c r="F513" s="33">
        <f>VLOOKUP(A513, '111_Raw'!$B:$D,3,FALSE)</f>
        <v>8</v>
      </c>
      <c r="G513" s="33">
        <f>VLOOKUP(A513, '113_Raw'!$B:$D,3,FALSE)</f>
        <v>19</v>
      </c>
      <c r="H513" s="35">
        <f t="shared" si="22"/>
        <v>1.375</v>
      </c>
      <c r="I513" s="38" t="str">
        <f t="shared" si="24"/>
        <v>穩定或成長</v>
      </c>
      <c r="J513" s="32" t="b">
        <f t="shared" si="23"/>
        <v>0</v>
      </c>
    </row>
    <row r="514" spans="1:10">
      <c r="A514" s="39" t="s">
        <v>602</v>
      </c>
      <c r="B514" s="37" t="s">
        <v>21</v>
      </c>
      <c r="C514" s="37" t="s">
        <v>555</v>
      </c>
      <c r="D514" s="38" t="str">
        <f>VLOOKUP(B514, Mapping!$A:$B, 2, FALSE)</f>
        <v>北部</v>
      </c>
      <c r="E514" s="38" t="str">
        <f>IFERROR(VLOOKUP(A514, '113_Faraway'!$A:$C, 3,FALSE),"非偏遠")</f>
        <v>非偏遠</v>
      </c>
      <c r="F514" s="33">
        <f>VLOOKUP(A514, '111_Raw'!$B:$D,3,FALSE)</f>
        <v>99</v>
      </c>
      <c r="G514" s="33">
        <f>VLOOKUP(A514, '113_Raw'!$B:$D,3,FALSE)</f>
        <v>96</v>
      </c>
      <c r="H514" s="35">
        <f t="shared" si="22"/>
        <v>-0.03</v>
      </c>
      <c r="I514" s="38" t="str">
        <f t="shared" si="24"/>
        <v>小幅下降</v>
      </c>
      <c r="J514" s="32" t="b">
        <f t="shared" si="23"/>
        <v>1</v>
      </c>
    </row>
    <row r="515" spans="1:10">
      <c r="A515" s="39" t="s">
        <v>603</v>
      </c>
      <c r="B515" s="37" t="s">
        <v>25</v>
      </c>
      <c r="C515" s="37" t="s">
        <v>556</v>
      </c>
      <c r="D515" s="38" t="str">
        <f>VLOOKUP(B515, Mapping!$A:$B, 2, FALSE)</f>
        <v>中部</v>
      </c>
      <c r="E515" s="38" t="str">
        <f>IFERROR(VLOOKUP(A515, '113_Faraway'!$A:$C, 3,FALSE),"非偏遠")</f>
        <v>非偏遠</v>
      </c>
      <c r="F515" s="33">
        <f>VLOOKUP(A515, '111_Raw'!$B:$D,3,FALSE)</f>
        <v>13</v>
      </c>
      <c r="G515" s="33">
        <f>VLOOKUP(A515, '113_Raw'!$B:$D,3,FALSE)</f>
        <v>15</v>
      </c>
      <c r="H515" s="35">
        <f t="shared" ref="H515:H521" si="25">ROUND((G515-F515)/F515,3)</f>
        <v>0.154</v>
      </c>
      <c r="I515" s="38" t="str">
        <f t="shared" si="24"/>
        <v>穩定或成長</v>
      </c>
      <c r="J515" s="32" t="b">
        <f t="shared" ref="J515:J521" si="26">IF(H515 &lt; $K$2, TRUE, FALSE)</f>
        <v>0</v>
      </c>
    </row>
    <row r="516" spans="1:10">
      <c r="A516" s="36" t="s">
        <v>604</v>
      </c>
      <c r="B516" s="37" t="s">
        <v>29</v>
      </c>
      <c r="C516" s="37" t="s">
        <v>557</v>
      </c>
      <c r="D516" s="38" t="str">
        <f>VLOOKUP(B516, Mapping!$A:$B, 2, FALSE)</f>
        <v>南部</v>
      </c>
      <c r="E516" s="38" t="str">
        <f>IFERROR(VLOOKUP(A516, '113_Faraway'!$A:$C, 3,FALSE),"非偏遠")</f>
        <v>非偏遠</v>
      </c>
      <c r="F516" s="33">
        <f>VLOOKUP(A516, '111_Raw'!$B:$D,3,FALSE)</f>
        <v>79</v>
      </c>
      <c r="G516" s="33">
        <f>VLOOKUP(A516, '113_Raw'!$B:$D,3,FALSE)</f>
        <v>67</v>
      </c>
      <c r="H516" s="35">
        <f t="shared" si="25"/>
        <v>-0.152</v>
      </c>
      <c r="I516" s="38" t="str">
        <f t="shared" si="24"/>
        <v>明顯下降</v>
      </c>
      <c r="J516" s="32" t="b">
        <f t="shared" si="26"/>
        <v>1</v>
      </c>
    </row>
    <row r="517" spans="1:10">
      <c r="A517" s="36" t="s">
        <v>605</v>
      </c>
      <c r="B517" s="37" t="s">
        <v>32</v>
      </c>
      <c r="C517" s="37" t="s">
        <v>558</v>
      </c>
      <c r="D517" s="38" t="str">
        <f>VLOOKUP(B517, Mapping!$A:$B, 2, FALSE)</f>
        <v>東部</v>
      </c>
      <c r="E517" s="38" t="str">
        <f>IFERROR(VLOOKUP(A517, '113_Faraway'!$A:$C, 3,FALSE),"非偏遠")</f>
        <v>非偏遠</v>
      </c>
      <c r="F517" s="33">
        <f>VLOOKUP(A517, '111_Raw'!$B:$D,3,FALSE)</f>
        <v>62</v>
      </c>
      <c r="G517" s="33">
        <f>VLOOKUP(A517, '113_Raw'!$B:$D,3,FALSE)</f>
        <v>48</v>
      </c>
      <c r="H517" s="35">
        <f t="shared" si="25"/>
        <v>-0.22600000000000001</v>
      </c>
      <c r="I517" s="38" t="str">
        <f t="shared" si="24"/>
        <v>明顯下降</v>
      </c>
      <c r="J517" s="32" t="b">
        <f t="shared" si="26"/>
        <v>1</v>
      </c>
    </row>
    <row r="518" spans="1:10">
      <c r="A518" s="39" t="s">
        <v>606</v>
      </c>
      <c r="B518" s="37" t="s">
        <v>21</v>
      </c>
      <c r="C518" s="37" t="s">
        <v>559</v>
      </c>
      <c r="D518" s="38" t="str">
        <f>VLOOKUP(B518, Mapping!$A:$B, 2, FALSE)</f>
        <v>北部</v>
      </c>
      <c r="E518" s="38" t="str">
        <f>IFERROR(VLOOKUP(A518, '113_Faraway'!$A:$C, 3,FALSE),"非偏遠")</f>
        <v>非偏遠</v>
      </c>
      <c r="F518" s="33">
        <f>VLOOKUP(A518, '111_Raw'!$B:$D,3,FALSE)</f>
        <v>135</v>
      </c>
      <c r="G518" s="33">
        <f>VLOOKUP(A518, '113_Raw'!$B:$D,3,FALSE)</f>
        <v>135</v>
      </c>
      <c r="H518" s="35">
        <f t="shared" si="25"/>
        <v>0</v>
      </c>
      <c r="I518" s="38" t="str">
        <f t="shared" si="24"/>
        <v>穩定或成長</v>
      </c>
      <c r="J518" s="32" t="b">
        <f t="shared" si="26"/>
        <v>0</v>
      </c>
    </row>
    <row r="519" spans="1:10">
      <c r="A519" s="39" t="s">
        <v>607</v>
      </c>
      <c r="B519" s="37" t="s">
        <v>22</v>
      </c>
      <c r="C519" s="37" t="s">
        <v>560</v>
      </c>
      <c r="D519" s="38" t="str">
        <f>VLOOKUP(B519, Mapping!$A:$B, 2, FALSE)</f>
        <v>北部</v>
      </c>
      <c r="E519" s="38" t="str">
        <f>IFERROR(VLOOKUP(A519, '113_Faraway'!$A:$C, 3,FALSE),"非偏遠")</f>
        <v>非偏遠</v>
      </c>
      <c r="F519" s="33">
        <f>VLOOKUP(A519, '111_Raw'!$B:$D,3,FALSE)</f>
        <v>173</v>
      </c>
      <c r="G519" s="33">
        <f>VLOOKUP(A519, '113_Raw'!$B:$D,3,FALSE)</f>
        <v>206</v>
      </c>
      <c r="H519" s="35">
        <f t="shared" si="25"/>
        <v>0.191</v>
      </c>
      <c r="I519" s="38" t="str">
        <f t="shared" si="24"/>
        <v>穩定或成長</v>
      </c>
      <c r="J519" s="32" t="b">
        <f t="shared" si="26"/>
        <v>0</v>
      </c>
    </row>
    <row r="520" spans="1:10">
      <c r="A520" s="39" t="s">
        <v>608</v>
      </c>
      <c r="B520" s="37" t="s">
        <v>25</v>
      </c>
      <c r="C520" s="37" t="s">
        <v>561</v>
      </c>
      <c r="D520" s="38" t="str">
        <f>VLOOKUP(B520, Mapping!$A:$B, 2, FALSE)</f>
        <v>中部</v>
      </c>
      <c r="E520" s="38" t="str">
        <f>IFERROR(VLOOKUP(A520, '113_Faraway'!$A:$C, 3,FALSE),"非偏遠")</f>
        <v>非偏遠</v>
      </c>
      <c r="F520" s="33">
        <f>VLOOKUP(A520, '111_Raw'!$B:$D,3,FALSE)</f>
        <v>194</v>
      </c>
      <c r="G520" s="33">
        <f>VLOOKUP(A520, '113_Raw'!$B:$D,3,FALSE)</f>
        <v>260</v>
      </c>
      <c r="H520" s="35">
        <f t="shared" si="25"/>
        <v>0.34</v>
      </c>
      <c r="I520" s="38" t="str">
        <f t="shared" si="24"/>
        <v>穩定或成長</v>
      </c>
      <c r="J520" s="32" t="b">
        <f t="shared" si="26"/>
        <v>0</v>
      </c>
    </row>
    <row r="521" spans="1:10">
      <c r="A521" s="36" t="s">
        <v>609</v>
      </c>
      <c r="B521" s="37" t="s">
        <v>30</v>
      </c>
      <c r="C521" s="37" t="s">
        <v>562</v>
      </c>
      <c r="D521" s="38" t="str">
        <f>VLOOKUP(B521, Mapping!$A:$B, 2, FALSE)</f>
        <v>南部</v>
      </c>
      <c r="E521" s="38" t="str">
        <f>IFERROR(VLOOKUP(A521, '113_Faraway'!$A:$C, 3,FALSE),"非偏遠")</f>
        <v>非偏遠</v>
      </c>
      <c r="F521" s="33">
        <f>VLOOKUP(A521, '111_Raw'!$B:$D,3,FALSE)</f>
        <v>104</v>
      </c>
      <c r="G521" s="33">
        <f>VLOOKUP(A521, '113_Raw'!$B:$D,3,FALSE)</f>
        <v>88</v>
      </c>
      <c r="H521" s="35">
        <f t="shared" si="25"/>
        <v>-0.154</v>
      </c>
      <c r="I521" s="38" t="str">
        <f t="shared" si="24"/>
        <v>明顯下降</v>
      </c>
      <c r="J521" s="32" t="b">
        <f t="shared" si="26"/>
        <v>1</v>
      </c>
    </row>
    <row r="522" spans="1:10">
      <c r="A522" s="40"/>
      <c r="B522" s="41"/>
      <c r="C522" s="40"/>
      <c r="D522" s="38"/>
    </row>
    <row r="523" spans="1:10">
      <c r="D523" s="38"/>
    </row>
    <row r="524" spans="1:10">
      <c r="D524" s="38"/>
    </row>
    <row r="525" spans="1:10">
      <c r="D525" s="38"/>
    </row>
    <row r="526" spans="1:10">
      <c r="D526" s="40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0A089-1516-4978-99A5-B3A848CA6966}">
  <dimension ref="A1:D531"/>
  <sheetViews>
    <sheetView topLeftCell="A116" workbookViewId="0">
      <selection activeCell="B1" sqref="B1:B1048576"/>
    </sheetView>
  </sheetViews>
  <sheetFormatPr defaultRowHeight="16.149999999999999"/>
  <cols>
    <col min="1" max="2" width="8.73046875" style="3" customWidth="1"/>
    <col min="3" max="3" width="24.73046875" style="3" customWidth="1"/>
    <col min="4" max="4" width="7" style="3" customWidth="1"/>
  </cols>
  <sheetData>
    <row r="1" spans="1:4">
      <c r="A1" s="9" t="s">
        <v>16</v>
      </c>
      <c r="B1" s="9" t="s">
        <v>594</v>
      </c>
      <c r="C1" s="9" t="s">
        <v>40</v>
      </c>
      <c r="D1" s="10" t="s">
        <v>595</v>
      </c>
    </row>
    <row r="2" spans="1:4">
      <c r="A2" s="1" t="s">
        <v>17</v>
      </c>
      <c r="B2" s="11">
        <v>400144</v>
      </c>
      <c r="C2" s="1" t="s">
        <v>41</v>
      </c>
      <c r="D2" s="12">
        <v>372</v>
      </c>
    </row>
    <row r="3" spans="1:4">
      <c r="A3" s="1" t="s">
        <v>18</v>
      </c>
      <c r="B3" s="11">
        <v>140222</v>
      </c>
      <c r="C3" s="1" t="s">
        <v>42</v>
      </c>
      <c r="D3" s="13">
        <v>763</v>
      </c>
    </row>
    <row r="4" spans="1:4">
      <c r="A4" s="1" t="s">
        <v>19</v>
      </c>
      <c r="B4" s="14">
        <v>10301</v>
      </c>
      <c r="C4" s="1" t="s">
        <v>43</v>
      </c>
      <c r="D4" s="13">
        <v>1503</v>
      </c>
    </row>
    <row r="5" spans="1:4">
      <c r="A5" s="1" t="s">
        <v>19</v>
      </c>
      <c r="B5" s="14">
        <v>11301</v>
      </c>
      <c r="C5" s="1" t="s">
        <v>44</v>
      </c>
      <c r="D5" s="13">
        <v>898</v>
      </c>
    </row>
    <row r="6" spans="1:4">
      <c r="A6" s="1" t="s">
        <v>19</v>
      </c>
      <c r="B6" s="14">
        <v>11302</v>
      </c>
      <c r="C6" s="1" t="s">
        <v>45</v>
      </c>
      <c r="D6" s="13">
        <v>885</v>
      </c>
    </row>
    <row r="7" spans="1:4">
      <c r="A7" s="1" t="s">
        <v>19</v>
      </c>
      <c r="B7" s="14">
        <v>11306</v>
      </c>
      <c r="C7" s="1" t="s">
        <v>46</v>
      </c>
      <c r="D7" s="13">
        <v>743</v>
      </c>
    </row>
    <row r="8" spans="1:4">
      <c r="A8" s="1" t="s">
        <v>19</v>
      </c>
      <c r="B8" s="14">
        <v>11307</v>
      </c>
      <c r="C8" s="1" t="s">
        <v>47</v>
      </c>
      <c r="D8" s="13">
        <v>173</v>
      </c>
    </row>
    <row r="9" spans="1:4">
      <c r="A9" s="1" t="s">
        <v>19</v>
      </c>
      <c r="B9" s="14">
        <v>11309</v>
      </c>
      <c r="C9" s="1" t="s">
        <v>48</v>
      </c>
      <c r="D9" s="13">
        <v>1620</v>
      </c>
    </row>
    <row r="10" spans="1:4">
      <c r="A10" s="1" t="s">
        <v>19</v>
      </c>
      <c r="B10" s="14">
        <v>11310</v>
      </c>
      <c r="C10" s="1" t="s">
        <v>49</v>
      </c>
      <c r="D10" s="13">
        <v>867</v>
      </c>
    </row>
    <row r="11" spans="1:4">
      <c r="A11" s="1" t="s">
        <v>19</v>
      </c>
      <c r="B11" s="14">
        <v>11311</v>
      </c>
      <c r="C11" s="1" t="s">
        <v>50</v>
      </c>
      <c r="D11" s="13">
        <v>370</v>
      </c>
    </row>
    <row r="12" spans="1:4">
      <c r="A12" s="1" t="s">
        <v>19</v>
      </c>
      <c r="B12" s="14">
        <v>11312</v>
      </c>
      <c r="C12" s="1" t="s">
        <v>51</v>
      </c>
      <c r="D12" s="13">
        <v>141</v>
      </c>
    </row>
    <row r="13" spans="1:4">
      <c r="A13" s="1" t="s">
        <v>19</v>
      </c>
      <c r="B13" s="14">
        <v>11314</v>
      </c>
      <c r="C13" s="1" t="s">
        <v>52</v>
      </c>
      <c r="D13" s="13">
        <v>0</v>
      </c>
    </row>
    <row r="14" spans="1:4">
      <c r="A14" s="1" t="s">
        <v>19</v>
      </c>
      <c r="B14" s="14">
        <v>11315</v>
      </c>
      <c r="C14" s="1" t="s">
        <v>53</v>
      </c>
      <c r="D14" s="13">
        <v>552</v>
      </c>
    </row>
    <row r="15" spans="1:4">
      <c r="A15" s="1" t="s">
        <v>19</v>
      </c>
      <c r="B15" s="14">
        <v>11316</v>
      </c>
      <c r="C15" s="1" t="s">
        <v>54</v>
      </c>
      <c r="D15" s="13">
        <v>636</v>
      </c>
    </row>
    <row r="16" spans="1:4">
      <c r="A16" s="1" t="s">
        <v>19</v>
      </c>
      <c r="B16" s="14">
        <v>11317</v>
      </c>
      <c r="C16" s="1" t="s">
        <v>55</v>
      </c>
      <c r="D16" s="13">
        <v>575</v>
      </c>
    </row>
    <row r="17" spans="1:4">
      <c r="A17" s="1" t="s">
        <v>19</v>
      </c>
      <c r="B17" s="14">
        <v>11318</v>
      </c>
      <c r="C17" s="1" t="s">
        <v>56</v>
      </c>
      <c r="D17" s="13">
        <v>230</v>
      </c>
    </row>
    <row r="18" spans="1:4">
      <c r="A18" s="1" t="s">
        <v>19</v>
      </c>
      <c r="B18" s="14">
        <v>11322</v>
      </c>
      <c r="C18" s="1" t="s">
        <v>57</v>
      </c>
      <c r="D18" s="13">
        <v>482</v>
      </c>
    </row>
    <row r="19" spans="1:4">
      <c r="A19" s="1" t="s">
        <v>19</v>
      </c>
      <c r="B19" s="14">
        <v>11323</v>
      </c>
      <c r="C19" s="1" t="s">
        <v>58</v>
      </c>
      <c r="D19" s="13">
        <v>722</v>
      </c>
    </row>
    <row r="20" spans="1:4">
      <c r="A20" s="1" t="s">
        <v>19</v>
      </c>
      <c r="B20" s="14">
        <v>11324</v>
      </c>
      <c r="C20" s="1" t="s">
        <v>59</v>
      </c>
      <c r="D20" s="13">
        <v>1033</v>
      </c>
    </row>
    <row r="21" spans="1:4">
      <c r="A21" s="1" t="s">
        <v>19</v>
      </c>
      <c r="B21" s="14">
        <v>11325</v>
      </c>
      <c r="C21" s="1" t="s">
        <v>60</v>
      </c>
      <c r="D21" s="13">
        <v>128</v>
      </c>
    </row>
    <row r="22" spans="1:4">
      <c r="A22" s="1" t="s">
        <v>19</v>
      </c>
      <c r="B22" s="14">
        <v>11329</v>
      </c>
      <c r="C22" s="1" t="s">
        <v>61</v>
      </c>
      <c r="D22" s="13">
        <v>472</v>
      </c>
    </row>
    <row r="23" spans="1:4">
      <c r="A23" s="1" t="s">
        <v>19</v>
      </c>
      <c r="B23" s="14">
        <v>11330</v>
      </c>
      <c r="C23" s="1" t="s">
        <v>62</v>
      </c>
      <c r="D23" s="13">
        <v>537</v>
      </c>
    </row>
    <row r="24" spans="1:4">
      <c r="A24" s="1" t="s">
        <v>19</v>
      </c>
      <c r="B24" s="14">
        <v>11399</v>
      </c>
      <c r="C24" s="1" t="s">
        <v>63</v>
      </c>
      <c r="D24" s="13">
        <v>614</v>
      </c>
    </row>
    <row r="25" spans="1:4">
      <c r="A25" s="1" t="s">
        <v>19</v>
      </c>
      <c r="B25" s="14">
        <v>13303</v>
      </c>
      <c r="C25" s="1" t="s">
        <v>64</v>
      </c>
      <c r="D25" s="13">
        <v>2118</v>
      </c>
    </row>
    <row r="26" spans="1:4">
      <c r="A26" s="1" t="s">
        <v>19</v>
      </c>
      <c r="B26" s="14">
        <v>13304</v>
      </c>
      <c r="C26" s="1" t="s">
        <v>65</v>
      </c>
      <c r="D26" s="13">
        <v>2182</v>
      </c>
    </row>
    <row r="27" spans="1:4">
      <c r="A27" s="1" t="s">
        <v>19</v>
      </c>
      <c r="B27" s="14">
        <v>13335</v>
      </c>
      <c r="C27" s="1" t="s">
        <v>66</v>
      </c>
      <c r="D27" s="13">
        <v>1770</v>
      </c>
    </row>
    <row r="28" spans="1:4">
      <c r="A28" s="1" t="s">
        <v>19</v>
      </c>
      <c r="B28" s="14">
        <v>13336</v>
      </c>
      <c r="C28" s="1" t="s">
        <v>67</v>
      </c>
      <c r="D28" s="13">
        <v>1893</v>
      </c>
    </row>
    <row r="29" spans="1:4">
      <c r="A29" s="1" t="s">
        <v>19</v>
      </c>
      <c r="B29" s="14">
        <v>13337</v>
      </c>
      <c r="C29" s="1" t="s">
        <v>68</v>
      </c>
      <c r="D29" s="13">
        <v>2020</v>
      </c>
    </row>
    <row r="30" spans="1:4">
      <c r="A30" s="1" t="s">
        <v>19</v>
      </c>
      <c r="B30" s="14">
        <v>13338</v>
      </c>
      <c r="C30" s="1" t="s">
        <v>69</v>
      </c>
      <c r="D30" s="13">
        <v>1789</v>
      </c>
    </row>
    <row r="31" spans="1:4">
      <c r="A31" s="1" t="s">
        <v>19</v>
      </c>
      <c r="B31" s="14">
        <v>13339</v>
      </c>
      <c r="C31" s="1" t="s">
        <v>70</v>
      </c>
      <c r="D31" s="13">
        <v>1549</v>
      </c>
    </row>
    <row r="32" spans="1:4">
      <c r="A32" s="1" t="s">
        <v>19</v>
      </c>
      <c r="B32" s="14">
        <v>14302</v>
      </c>
      <c r="C32" s="1" t="s">
        <v>71</v>
      </c>
      <c r="D32" s="13">
        <v>1163</v>
      </c>
    </row>
    <row r="33" spans="1:4">
      <c r="A33" s="1" t="s">
        <v>19</v>
      </c>
      <c r="B33" s="14">
        <v>14311</v>
      </c>
      <c r="C33" s="1" t="s">
        <v>72</v>
      </c>
      <c r="D33" s="13">
        <v>1348</v>
      </c>
    </row>
    <row r="34" spans="1:4">
      <c r="A34" s="1" t="s">
        <v>19</v>
      </c>
      <c r="B34" s="14">
        <v>14315</v>
      </c>
      <c r="C34" s="1" t="s">
        <v>73</v>
      </c>
      <c r="D34" s="13">
        <v>1180</v>
      </c>
    </row>
    <row r="35" spans="1:4">
      <c r="A35" s="1" t="s">
        <v>19</v>
      </c>
      <c r="B35" s="14">
        <v>14322</v>
      </c>
      <c r="C35" s="1" t="s">
        <v>74</v>
      </c>
      <c r="D35" s="13">
        <v>1392</v>
      </c>
    </row>
    <row r="36" spans="1:4">
      <c r="A36" s="1" t="s">
        <v>19</v>
      </c>
      <c r="B36" s="14">
        <v>14326</v>
      </c>
      <c r="C36" s="1" t="s">
        <v>75</v>
      </c>
      <c r="D36" s="13">
        <v>1137</v>
      </c>
    </row>
    <row r="37" spans="1:4">
      <c r="A37" s="1" t="s">
        <v>19</v>
      </c>
      <c r="B37" s="14">
        <v>14332</v>
      </c>
      <c r="C37" s="1" t="s">
        <v>76</v>
      </c>
      <c r="D37" s="13">
        <v>911</v>
      </c>
    </row>
    <row r="38" spans="1:4">
      <c r="A38" s="1" t="s">
        <v>19</v>
      </c>
      <c r="B38" s="14">
        <v>14338</v>
      </c>
      <c r="C38" s="1" t="s">
        <v>77</v>
      </c>
      <c r="D38" s="13">
        <v>348</v>
      </c>
    </row>
    <row r="39" spans="1:4">
      <c r="A39" s="1" t="s">
        <v>19</v>
      </c>
      <c r="B39" s="14">
        <v>14343</v>
      </c>
      <c r="C39" s="1" t="s">
        <v>78</v>
      </c>
      <c r="D39" s="13">
        <v>1016</v>
      </c>
    </row>
    <row r="40" spans="1:4">
      <c r="A40" s="1" t="s">
        <v>19</v>
      </c>
      <c r="B40" s="14">
        <v>14347</v>
      </c>
      <c r="C40" s="1" t="s">
        <v>79</v>
      </c>
      <c r="D40" s="13">
        <v>226</v>
      </c>
    </row>
    <row r="41" spans="1:4">
      <c r="A41" s="1" t="s">
        <v>19</v>
      </c>
      <c r="B41" s="14">
        <v>14348</v>
      </c>
      <c r="C41" s="1" t="s">
        <v>80</v>
      </c>
      <c r="D41" s="13">
        <v>477</v>
      </c>
    </row>
    <row r="42" spans="1:4">
      <c r="A42" s="1" t="s">
        <v>19</v>
      </c>
      <c r="B42" s="14">
        <v>14353</v>
      </c>
      <c r="C42" s="1" t="s">
        <v>81</v>
      </c>
      <c r="D42" s="13">
        <v>1024</v>
      </c>
    </row>
    <row r="43" spans="1:4">
      <c r="A43" s="1" t="s">
        <v>19</v>
      </c>
      <c r="B43" s="14">
        <v>14356</v>
      </c>
      <c r="C43" s="1" t="s">
        <v>82</v>
      </c>
      <c r="D43" s="13">
        <v>1358</v>
      </c>
    </row>
    <row r="44" spans="1:4">
      <c r="A44" s="1" t="s">
        <v>19</v>
      </c>
      <c r="B44" s="14">
        <v>14357</v>
      </c>
      <c r="C44" s="1" t="s">
        <v>83</v>
      </c>
      <c r="D44" s="13">
        <v>1446</v>
      </c>
    </row>
    <row r="45" spans="1:4">
      <c r="A45" s="1" t="s">
        <v>19</v>
      </c>
      <c r="B45" s="14">
        <v>14362</v>
      </c>
      <c r="C45" s="1" t="s">
        <v>84</v>
      </c>
      <c r="D45" s="13">
        <v>1060</v>
      </c>
    </row>
    <row r="46" spans="1:4">
      <c r="A46" s="1" t="s">
        <v>19</v>
      </c>
      <c r="B46" s="14">
        <v>14363</v>
      </c>
      <c r="C46" s="1" t="s">
        <v>85</v>
      </c>
      <c r="D46" s="13">
        <v>693</v>
      </c>
    </row>
    <row r="47" spans="1:4">
      <c r="A47" s="1" t="s">
        <v>19</v>
      </c>
      <c r="B47" s="14">
        <v>14364</v>
      </c>
      <c r="C47" s="1" t="s">
        <v>86</v>
      </c>
      <c r="D47" s="13">
        <v>784</v>
      </c>
    </row>
    <row r="48" spans="1:4">
      <c r="A48" s="1" t="s">
        <v>19</v>
      </c>
      <c r="B48" s="14">
        <v>14381</v>
      </c>
      <c r="C48" s="1" t="s">
        <v>87</v>
      </c>
      <c r="D48" s="13">
        <v>655</v>
      </c>
    </row>
    <row r="49" spans="1:4">
      <c r="A49" s="1" t="s">
        <v>19</v>
      </c>
      <c r="B49" s="14">
        <v>14399</v>
      </c>
      <c r="C49" s="1" t="s">
        <v>88</v>
      </c>
      <c r="D49" s="13">
        <v>4</v>
      </c>
    </row>
    <row r="50" spans="1:4">
      <c r="A50" s="1" t="s">
        <v>20</v>
      </c>
      <c r="B50" s="14">
        <v>20301</v>
      </c>
      <c r="C50" s="1" t="s">
        <v>89</v>
      </c>
      <c r="D50" s="13">
        <v>1365</v>
      </c>
    </row>
    <row r="51" spans="1:4">
      <c r="A51" s="1" t="s">
        <v>20</v>
      </c>
      <c r="B51" s="14">
        <v>20302</v>
      </c>
      <c r="C51" s="1" t="s">
        <v>90</v>
      </c>
      <c r="D51" s="13">
        <v>1405</v>
      </c>
    </row>
    <row r="52" spans="1:4">
      <c r="A52" s="1" t="s">
        <v>20</v>
      </c>
      <c r="B52" s="14">
        <v>20308</v>
      </c>
      <c r="C52" s="1" t="s">
        <v>91</v>
      </c>
      <c r="D52" s="13">
        <v>1331</v>
      </c>
    </row>
    <row r="53" spans="1:4">
      <c r="A53" s="1" t="s">
        <v>20</v>
      </c>
      <c r="B53" s="14">
        <v>21301</v>
      </c>
      <c r="C53" s="1" t="s">
        <v>92</v>
      </c>
      <c r="D53" s="13">
        <v>651</v>
      </c>
    </row>
    <row r="54" spans="1:4">
      <c r="A54" s="1" t="s">
        <v>20</v>
      </c>
      <c r="B54" s="14">
        <v>21310</v>
      </c>
      <c r="C54" s="1" t="s">
        <v>93</v>
      </c>
      <c r="D54" s="13">
        <v>242</v>
      </c>
    </row>
    <row r="55" spans="1:4">
      <c r="A55" s="1" t="s">
        <v>20</v>
      </c>
      <c r="B55" s="14">
        <v>24322</v>
      </c>
      <c r="C55" s="1" t="s">
        <v>94</v>
      </c>
      <c r="D55" s="13">
        <v>157</v>
      </c>
    </row>
    <row r="56" spans="1:4">
      <c r="A56" s="1" t="s">
        <v>20</v>
      </c>
      <c r="B56" s="14">
        <v>24325</v>
      </c>
      <c r="C56" s="1" t="s">
        <v>95</v>
      </c>
      <c r="D56" s="13">
        <v>156</v>
      </c>
    </row>
    <row r="57" spans="1:4">
      <c r="A57" s="1" t="s">
        <v>21</v>
      </c>
      <c r="B57" s="14">
        <v>30305</v>
      </c>
      <c r="C57" s="1" t="s">
        <v>96</v>
      </c>
      <c r="D57" s="13">
        <v>2122</v>
      </c>
    </row>
    <row r="58" spans="1:4">
      <c r="A58" s="1" t="s">
        <v>21</v>
      </c>
      <c r="B58" s="14">
        <v>31301</v>
      </c>
      <c r="C58" s="1" t="s">
        <v>97</v>
      </c>
      <c r="D58" s="13">
        <v>0</v>
      </c>
    </row>
    <row r="59" spans="1:4">
      <c r="A59" s="1" t="s">
        <v>21</v>
      </c>
      <c r="B59" s="14">
        <v>31309</v>
      </c>
      <c r="C59" s="1" t="s">
        <v>98</v>
      </c>
      <c r="D59" s="13">
        <v>4991</v>
      </c>
    </row>
    <row r="60" spans="1:4">
      <c r="A60" s="1" t="s">
        <v>21</v>
      </c>
      <c r="B60" s="14">
        <v>31310</v>
      </c>
      <c r="C60" s="1" t="s">
        <v>99</v>
      </c>
      <c r="D60" s="13">
        <v>1216</v>
      </c>
    </row>
    <row r="61" spans="1:4">
      <c r="A61" s="1" t="s">
        <v>21</v>
      </c>
      <c r="B61" s="14">
        <v>31311</v>
      </c>
      <c r="C61" s="1" t="s">
        <v>100</v>
      </c>
      <c r="D61" s="13">
        <v>1695</v>
      </c>
    </row>
    <row r="62" spans="1:4">
      <c r="A62" s="1" t="s">
        <v>21</v>
      </c>
      <c r="B62" s="14">
        <v>31312</v>
      </c>
      <c r="C62" s="1" t="s">
        <v>101</v>
      </c>
      <c r="D62" s="13">
        <v>3523</v>
      </c>
    </row>
    <row r="63" spans="1:4">
      <c r="A63" s="1" t="s">
        <v>21</v>
      </c>
      <c r="B63" s="14">
        <v>31313</v>
      </c>
      <c r="C63" s="1" t="s">
        <v>102</v>
      </c>
      <c r="D63" s="13">
        <v>3076</v>
      </c>
    </row>
    <row r="64" spans="1:4">
      <c r="A64" s="1" t="s">
        <v>21</v>
      </c>
      <c r="B64" s="14">
        <v>31317</v>
      </c>
      <c r="C64" s="1" t="s">
        <v>103</v>
      </c>
      <c r="D64" s="13">
        <v>677</v>
      </c>
    </row>
    <row r="65" spans="1:4">
      <c r="A65" s="1" t="s">
        <v>21</v>
      </c>
      <c r="B65" s="14">
        <v>31318</v>
      </c>
      <c r="C65" s="1" t="s">
        <v>104</v>
      </c>
      <c r="D65" s="13">
        <v>4288</v>
      </c>
    </row>
    <row r="66" spans="1:4">
      <c r="A66" s="1" t="s">
        <v>21</v>
      </c>
      <c r="B66" s="14">
        <v>31319</v>
      </c>
      <c r="C66" s="1" t="s">
        <v>105</v>
      </c>
      <c r="D66" s="13">
        <v>282</v>
      </c>
    </row>
    <row r="67" spans="1:4">
      <c r="A67" s="1" t="s">
        <v>21</v>
      </c>
      <c r="B67" s="14">
        <v>31320</v>
      </c>
      <c r="C67" s="1" t="s">
        <v>106</v>
      </c>
      <c r="D67" s="13">
        <v>5279</v>
      </c>
    </row>
    <row r="68" spans="1:4">
      <c r="A68" s="1" t="s">
        <v>21</v>
      </c>
      <c r="B68" s="14">
        <v>31323</v>
      </c>
      <c r="C68" s="1" t="s">
        <v>107</v>
      </c>
      <c r="D68" s="13">
        <v>273</v>
      </c>
    </row>
    <row r="69" spans="1:4">
      <c r="A69" s="1" t="s">
        <v>21</v>
      </c>
      <c r="B69" s="14">
        <v>31324</v>
      </c>
      <c r="C69" s="1" t="s">
        <v>108</v>
      </c>
      <c r="D69" s="13">
        <v>1484</v>
      </c>
    </row>
    <row r="70" spans="1:4">
      <c r="A70" s="1" t="s">
        <v>21</v>
      </c>
      <c r="B70" s="14">
        <v>31326</v>
      </c>
      <c r="C70" s="1" t="s">
        <v>109</v>
      </c>
      <c r="D70" s="13">
        <v>258</v>
      </c>
    </row>
    <row r="71" spans="1:4">
      <c r="A71" s="1" t="s">
        <v>21</v>
      </c>
      <c r="B71" s="14">
        <v>33302</v>
      </c>
      <c r="C71" s="1" t="s">
        <v>110</v>
      </c>
      <c r="D71" s="13">
        <v>1340</v>
      </c>
    </row>
    <row r="72" spans="1:4">
      <c r="A72" s="1" t="s">
        <v>21</v>
      </c>
      <c r="B72" s="14">
        <v>33304</v>
      </c>
      <c r="C72" s="1" t="s">
        <v>111</v>
      </c>
      <c r="D72" s="13">
        <v>2325</v>
      </c>
    </row>
    <row r="73" spans="1:4">
      <c r="A73" s="1" t="s">
        <v>21</v>
      </c>
      <c r="B73" s="14">
        <v>33306</v>
      </c>
      <c r="C73" s="1" t="s">
        <v>112</v>
      </c>
      <c r="D73" s="13">
        <v>2225</v>
      </c>
    </row>
    <row r="74" spans="1:4">
      <c r="A74" s="1" t="s">
        <v>21</v>
      </c>
      <c r="B74" s="14">
        <v>33316</v>
      </c>
      <c r="C74" s="1" t="s">
        <v>113</v>
      </c>
      <c r="D74" s="13">
        <v>1715</v>
      </c>
    </row>
    <row r="75" spans="1:4">
      <c r="A75" s="1" t="s">
        <v>21</v>
      </c>
      <c r="B75" s="14">
        <v>33325</v>
      </c>
      <c r="C75" s="1" t="s">
        <v>114</v>
      </c>
      <c r="D75" s="13">
        <v>2099</v>
      </c>
    </row>
    <row r="76" spans="1:4">
      <c r="A76" s="1" t="s">
        <v>21</v>
      </c>
      <c r="B76" s="14">
        <v>33327</v>
      </c>
      <c r="C76" s="1" t="s">
        <v>115</v>
      </c>
      <c r="D76" s="13">
        <v>2019</v>
      </c>
    </row>
    <row r="77" spans="1:4">
      <c r="A77" s="1" t="s">
        <v>21</v>
      </c>
      <c r="B77" s="14">
        <v>34306</v>
      </c>
      <c r="C77" s="1" t="s">
        <v>116</v>
      </c>
      <c r="D77" s="13">
        <v>1405</v>
      </c>
    </row>
    <row r="78" spans="1:4">
      <c r="A78" s="1" t="s">
        <v>21</v>
      </c>
      <c r="B78" s="14">
        <v>34312</v>
      </c>
      <c r="C78" s="1" t="s">
        <v>117</v>
      </c>
      <c r="D78" s="13">
        <v>1104</v>
      </c>
    </row>
    <row r="79" spans="1:4">
      <c r="A79" s="1" t="s">
        <v>21</v>
      </c>
      <c r="B79" s="14">
        <v>34314</v>
      </c>
      <c r="C79" s="1" t="s">
        <v>118</v>
      </c>
      <c r="D79" s="13">
        <v>1875</v>
      </c>
    </row>
    <row r="80" spans="1:4">
      <c r="A80" s="1" t="s">
        <v>21</v>
      </c>
      <c r="B80" s="14">
        <v>34319</v>
      </c>
      <c r="C80" s="1" t="s">
        <v>119</v>
      </c>
      <c r="D80" s="13">
        <v>1654</v>
      </c>
    </row>
    <row r="81" spans="1:4">
      <c r="A81" s="1" t="s">
        <v>21</v>
      </c>
      <c r="B81" s="14">
        <v>34332</v>
      </c>
      <c r="C81" s="1" t="s">
        <v>120</v>
      </c>
      <c r="D81" s="13">
        <v>892</v>
      </c>
    </row>
    <row r="82" spans="1:4">
      <c r="A82" s="1" t="s">
        <v>21</v>
      </c>
      <c r="B82" s="14">
        <v>34335</v>
      </c>
      <c r="C82" s="1" t="s">
        <v>121</v>
      </c>
      <c r="D82" s="13">
        <v>549</v>
      </c>
    </row>
    <row r="83" spans="1:4">
      <c r="A83" s="1" t="s">
        <v>21</v>
      </c>
      <c r="B83" s="14">
        <v>34347</v>
      </c>
      <c r="C83" s="1" t="s">
        <v>122</v>
      </c>
      <c r="D83" s="13">
        <v>1274</v>
      </c>
    </row>
    <row r="84" spans="1:4">
      <c r="A84" s="1" t="s">
        <v>21</v>
      </c>
      <c r="B84" s="14">
        <v>34348</v>
      </c>
      <c r="C84" s="1" t="s">
        <v>123</v>
      </c>
      <c r="D84" s="13">
        <v>107</v>
      </c>
    </row>
    <row r="85" spans="1:4">
      <c r="A85" s="1" t="s">
        <v>21</v>
      </c>
      <c r="B85" s="14">
        <v>34399</v>
      </c>
      <c r="C85" s="1" t="s">
        <v>124</v>
      </c>
      <c r="D85" s="13">
        <v>1475</v>
      </c>
    </row>
    <row r="86" spans="1:4">
      <c r="A86" s="1" t="s">
        <v>22</v>
      </c>
      <c r="B86" s="14">
        <v>40302</v>
      </c>
      <c r="C86" s="1" t="s">
        <v>125</v>
      </c>
      <c r="D86" s="13">
        <v>1506</v>
      </c>
    </row>
    <row r="87" spans="1:4">
      <c r="A87" s="1" t="s">
        <v>22</v>
      </c>
      <c r="B87" s="14">
        <v>40304</v>
      </c>
      <c r="C87" s="1" t="s">
        <v>126</v>
      </c>
      <c r="D87" s="13">
        <v>873</v>
      </c>
    </row>
    <row r="88" spans="1:4">
      <c r="A88" s="1" t="s">
        <v>22</v>
      </c>
      <c r="B88" s="14">
        <v>40308</v>
      </c>
      <c r="C88" s="1" t="s">
        <v>127</v>
      </c>
      <c r="D88" s="13">
        <v>1855</v>
      </c>
    </row>
    <row r="89" spans="1:4">
      <c r="A89" s="1" t="s">
        <v>22</v>
      </c>
      <c r="B89" s="14">
        <v>41303</v>
      </c>
      <c r="C89" s="1" t="s">
        <v>128</v>
      </c>
      <c r="D89" s="13">
        <v>1899</v>
      </c>
    </row>
    <row r="90" spans="1:4">
      <c r="A90" s="1" t="s">
        <v>22</v>
      </c>
      <c r="B90" s="14">
        <v>41305</v>
      </c>
      <c r="C90" s="1" t="s">
        <v>129</v>
      </c>
      <c r="D90" s="13">
        <v>589</v>
      </c>
    </row>
    <row r="91" spans="1:4">
      <c r="A91" s="1" t="s">
        <v>22</v>
      </c>
      <c r="B91" s="14">
        <v>41306</v>
      </c>
      <c r="C91" s="1" t="s">
        <v>130</v>
      </c>
      <c r="D91" s="13">
        <v>1463</v>
      </c>
    </row>
    <row r="92" spans="1:4">
      <c r="A92" s="1" t="s">
        <v>22</v>
      </c>
      <c r="B92" s="14">
        <v>41307</v>
      </c>
      <c r="C92" s="1" t="s">
        <v>131</v>
      </c>
      <c r="D92" s="13">
        <v>1190</v>
      </c>
    </row>
    <row r="93" spans="1:4">
      <c r="A93" s="1" t="s">
        <v>22</v>
      </c>
      <c r="B93" s="14">
        <v>44311</v>
      </c>
      <c r="C93" s="1" t="s">
        <v>132</v>
      </c>
      <c r="D93" s="13">
        <v>796</v>
      </c>
    </row>
    <row r="94" spans="1:4">
      <c r="A94" s="1" t="s">
        <v>22</v>
      </c>
      <c r="B94" s="14">
        <v>44320</v>
      </c>
      <c r="C94" s="1" t="s">
        <v>133</v>
      </c>
      <c r="D94" s="13">
        <v>612</v>
      </c>
    </row>
    <row r="95" spans="1:4">
      <c r="A95" s="1" t="s">
        <v>23</v>
      </c>
      <c r="B95" s="14">
        <v>50303</v>
      </c>
      <c r="C95" s="1" t="s">
        <v>134</v>
      </c>
      <c r="D95" s="13">
        <v>1347</v>
      </c>
    </row>
    <row r="96" spans="1:4">
      <c r="A96" s="1" t="s">
        <v>23</v>
      </c>
      <c r="B96" s="14">
        <v>50310</v>
      </c>
      <c r="C96" s="1" t="s">
        <v>135</v>
      </c>
      <c r="D96" s="13">
        <v>1451</v>
      </c>
    </row>
    <row r="97" spans="1:4">
      <c r="A97" s="1" t="s">
        <v>23</v>
      </c>
      <c r="B97" s="14">
        <v>50314</v>
      </c>
      <c r="C97" s="1" t="s">
        <v>136</v>
      </c>
      <c r="D97" s="13">
        <v>744</v>
      </c>
    </row>
    <row r="98" spans="1:4">
      <c r="A98" s="1" t="s">
        <v>23</v>
      </c>
      <c r="B98" s="14">
        <v>50315</v>
      </c>
      <c r="C98" s="1" t="s">
        <v>137</v>
      </c>
      <c r="D98" s="13">
        <v>1156</v>
      </c>
    </row>
    <row r="99" spans="1:4">
      <c r="A99" s="1" t="s">
        <v>23</v>
      </c>
      <c r="B99" s="14">
        <v>51302</v>
      </c>
      <c r="C99" s="1" t="s">
        <v>138</v>
      </c>
      <c r="D99" s="13">
        <v>1305</v>
      </c>
    </row>
    <row r="100" spans="1:4">
      <c r="A100" s="1" t="s">
        <v>23</v>
      </c>
      <c r="B100" s="14">
        <v>51305</v>
      </c>
      <c r="C100" s="1" t="s">
        <v>139</v>
      </c>
      <c r="D100" s="13">
        <v>0</v>
      </c>
    </row>
    <row r="101" spans="1:4">
      <c r="A101" s="1" t="s">
        <v>23</v>
      </c>
      <c r="B101" s="14">
        <v>51306</v>
      </c>
      <c r="C101" s="1" t="s">
        <v>140</v>
      </c>
      <c r="D101" s="13">
        <v>629</v>
      </c>
    </row>
    <row r="102" spans="1:4">
      <c r="A102" s="1" t="s">
        <v>23</v>
      </c>
      <c r="B102" s="14">
        <v>51307</v>
      </c>
      <c r="C102" s="1" t="s">
        <v>141</v>
      </c>
      <c r="D102" s="13">
        <v>27</v>
      </c>
    </row>
    <row r="103" spans="1:4">
      <c r="A103" s="1" t="s">
        <v>23</v>
      </c>
      <c r="B103" s="14">
        <v>54308</v>
      </c>
      <c r="C103" s="1" t="s">
        <v>142</v>
      </c>
      <c r="D103" s="13">
        <v>352</v>
      </c>
    </row>
    <row r="104" spans="1:4">
      <c r="A104" s="1" t="s">
        <v>23</v>
      </c>
      <c r="B104" s="14">
        <v>54309</v>
      </c>
      <c r="C104" s="1" t="s">
        <v>143</v>
      </c>
      <c r="D104" s="13">
        <v>553</v>
      </c>
    </row>
    <row r="105" spans="1:4">
      <c r="A105" s="1" t="s">
        <v>23</v>
      </c>
      <c r="B105" s="14">
        <v>54317</v>
      </c>
      <c r="C105" s="1" t="s">
        <v>144</v>
      </c>
      <c r="D105" s="13">
        <v>637</v>
      </c>
    </row>
    <row r="106" spans="1:4">
      <c r="A106" s="1" t="s">
        <v>23</v>
      </c>
      <c r="B106" s="14">
        <v>54333</v>
      </c>
      <c r="C106" s="1" t="s">
        <v>145</v>
      </c>
      <c r="D106" s="13">
        <v>456</v>
      </c>
    </row>
    <row r="107" spans="1:4">
      <c r="A107" s="1" t="s">
        <v>24</v>
      </c>
      <c r="B107" s="14">
        <v>60322</v>
      </c>
      <c r="C107" s="1" t="s">
        <v>146</v>
      </c>
      <c r="D107" s="13">
        <v>1519</v>
      </c>
    </row>
    <row r="108" spans="1:4">
      <c r="A108" s="1" t="s">
        <v>24</v>
      </c>
      <c r="B108" s="14">
        <v>60323</v>
      </c>
      <c r="C108" s="1" t="s">
        <v>147</v>
      </c>
      <c r="D108" s="13">
        <v>418</v>
      </c>
    </row>
    <row r="109" spans="1:4">
      <c r="A109" s="1" t="s">
        <v>24</v>
      </c>
      <c r="B109" s="14">
        <v>61301</v>
      </c>
      <c r="C109" s="1" t="s">
        <v>148</v>
      </c>
      <c r="D109" s="13">
        <v>437</v>
      </c>
    </row>
    <row r="110" spans="1:4">
      <c r="A110" s="1" t="s">
        <v>24</v>
      </c>
      <c r="B110" s="14">
        <v>61306</v>
      </c>
      <c r="C110" s="1" t="s">
        <v>149</v>
      </c>
      <c r="D110" s="13">
        <v>1477</v>
      </c>
    </row>
    <row r="111" spans="1:4">
      <c r="A111" s="1" t="s">
        <v>24</v>
      </c>
      <c r="B111" s="14">
        <v>61309</v>
      </c>
      <c r="C111" s="1" t="s">
        <v>150</v>
      </c>
      <c r="D111" s="13">
        <v>1822</v>
      </c>
    </row>
    <row r="112" spans="1:4">
      <c r="A112" s="1" t="s">
        <v>24</v>
      </c>
      <c r="B112" s="14">
        <v>61310</v>
      </c>
      <c r="C112" s="1" t="s">
        <v>151</v>
      </c>
      <c r="D112" s="13">
        <v>1311</v>
      </c>
    </row>
    <row r="113" spans="1:4">
      <c r="A113" s="1" t="s">
        <v>24</v>
      </c>
      <c r="B113" s="14">
        <v>61311</v>
      </c>
      <c r="C113" s="1" t="s">
        <v>152</v>
      </c>
      <c r="D113" s="13">
        <v>740</v>
      </c>
    </row>
    <row r="114" spans="1:4">
      <c r="A114" s="1" t="s">
        <v>24</v>
      </c>
      <c r="B114" s="14">
        <v>61313</v>
      </c>
      <c r="C114" s="1" t="s">
        <v>153</v>
      </c>
      <c r="D114" s="13">
        <v>4363</v>
      </c>
    </row>
    <row r="115" spans="1:4">
      <c r="A115" s="1" t="s">
        <v>24</v>
      </c>
      <c r="B115" s="14">
        <v>61314</v>
      </c>
      <c r="C115" s="1" t="s">
        <v>154</v>
      </c>
      <c r="D115" s="13">
        <v>5142</v>
      </c>
    </row>
    <row r="116" spans="1:4">
      <c r="A116" s="1" t="s">
        <v>24</v>
      </c>
      <c r="B116" s="14">
        <v>61315</v>
      </c>
      <c r="C116" s="1" t="s">
        <v>155</v>
      </c>
      <c r="D116" s="13">
        <v>1050</v>
      </c>
    </row>
    <row r="117" spans="1:4">
      <c r="A117" s="1" t="s">
        <v>24</v>
      </c>
      <c r="B117" s="14">
        <v>61316</v>
      </c>
      <c r="C117" s="1" t="s">
        <v>156</v>
      </c>
      <c r="D117" s="13">
        <v>1920</v>
      </c>
    </row>
    <row r="118" spans="1:4">
      <c r="A118" s="1" t="s">
        <v>24</v>
      </c>
      <c r="B118" s="14">
        <v>61317</v>
      </c>
      <c r="C118" s="1" t="s">
        <v>157</v>
      </c>
      <c r="D118" s="13">
        <v>1519</v>
      </c>
    </row>
    <row r="119" spans="1:4">
      <c r="A119" s="1" t="s">
        <v>24</v>
      </c>
      <c r="B119" s="14">
        <v>61318</v>
      </c>
      <c r="C119" s="1" t="s">
        <v>158</v>
      </c>
      <c r="D119" s="13">
        <v>2206</v>
      </c>
    </row>
    <row r="120" spans="1:4">
      <c r="A120" s="1" t="s">
        <v>24</v>
      </c>
      <c r="B120" s="14">
        <v>61319</v>
      </c>
      <c r="C120" s="1" t="s">
        <v>159</v>
      </c>
      <c r="D120" s="13">
        <v>370</v>
      </c>
    </row>
    <row r="121" spans="1:4">
      <c r="A121" s="1" t="s">
        <v>24</v>
      </c>
      <c r="B121" s="14">
        <v>61321</v>
      </c>
      <c r="C121" s="1" t="s">
        <v>160</v>
      </c>
      <c r="D121" s="13">
        <v>1806</v>
      </c>
    </row>
    <row r="122" spans="1:4">
      <c r="A122" s="1" t="s">
        <v>24</v>
      </c>
      <c r="B122" s="14">
        <v>61322</v>
      </c>
      <c r="C122" s="1" t="s">
        <v>161</v>
      </c>
      <c r="D122" s="13">
        <v>24</v>
      </c>
    </row>
    <row r="123" spans="1:4">
      <c r="A123" s="1" t="s">
        <v>24</v>
      </c>
      <c r="B123" s="14">
        <v>63303</v>
      </c>
      <c r="C123" s="1" t="s">
        <v>162</v>
      </c>
      <c r="D123" s="13">
        <v>1406</v>
      </c>
    </row>
    <row r="124" spans="1:4">
      <c r="A124" s="1" t="s">
        <v>24</v>
      </c>
      <c r="B124" s="14">
        <v>63305</v>
      </c>
      <c r="C124" s="1" t="s">
        <v>82</v>
      </c>
      <c r="D124" s="13">
        <v>1427</v>
      </c>
    </row>
    <row r="125" spans="1:4">
      <c r="A125" s="1" t="s">
        <v>24</v>
      </c>
      <c r="B125" s="14">
        <v>63312</v>
      </c>
      <c r="C125" s="1" t="s">
        <v>163</v>
      </c>
      <c r="D125" s="13">
        <v>1492</v>
      </c>
    </row>
    <row r="126" spans="1:4">
      <c r="A126" s="1" t="s">
        <v>24</v>
      </c>
      <c r="B126" s="14">
        <v>64308</v>
      </c>
      <c r="C126" s="1" t="s">
        <v>164</v>
      </c>
      <c r="D126" s="13">
        <v>911</v>
      </c>
    </row>
    <row r="127" spans="1:4">
      <c r="A127" s="1" t="s">
        <v>24</v>
      </c>
      <c r="B127" s="14">
        <v>64324</v>
      </c>
      <c r="C127" s="1" t="s">
        <v>165</v>
      </c>
      <c r="D127" s="13">
        <v>733</v>
      </c>
    </row>
    <row r="128" spans="1:4">
      <c r="A128" s="1" t="s">
        <v>24</v>
      </c>
      <c r="B128" s="14">
        <v>64328</v>
      </c>
      <c r="C128" s="1" t="s">
        <v>166</v>
      </c>
      <c r="D128" s="13">
        <v>853</v>
      </c>
    </row>
    <row r="129" spans="1:4">
      <c r="A129" s="1" t="s">
        <v>24</v>
      </c>
      <c r="B129" s="14">
        <v>64336</v>
      </c>
      <c r="C129" s="1" t="s">
        <v>167</v>
      </c>
      <c r="D129" s="13">
        <v>763</v>
      </c>
    </row>
    <row r="130" spans="1:4">
      <c r="A130" s="1" t="s">
        <v>24</v>
      </c>
      <c r="B130" s="14">
        <v>64342</v>
      </c>
      <c r="C130" s="1" t="s">
        <v>168</v>
      </c>
      <c r="D130" s="13">
        <v>680</v>
      </c>
    </row>
    <row r="131" spans="1:4">
      <c r="A131" s="1" t="s">
        <v>24</v>
      </c>
      <c r="B131" s="14">
        <v>64350</v>
      </c>
      <c r="C131" s="1" t="s">
        <v>169</v>
      </c>
      <c r="D131" s="13">
        <v>510</v>
      </c>
    </row>
    <row r="132" spans="1:4">
      <c r="A132" s="1" t="s">
        <v>25</v>
      </c>
      <c r="B132" s="14">
        <v>70301</v>
      </c>
      <c r="C132" s="1" t="s">
        <v>170</v>
      </c>
      <c r="D132" s="13">
        <v>1554</v>
      </c>
    </row>
    <row r="133" spans="1:4">
      <c r="A133" s="1" t="s">
        <v>25</v>
      </c>
      <c r="B133" s="14">
        <v>70304</v>
      </c>
      <c r="C133" s="1" t="s">
        <v>171</v>
      </c>
      <c r="D133" s="13">
        <v>1737</v>
      </c>
    </row>
    <row r="134" spans="1:4">
      <c r="A134" s="1" t="s">
        <v>25</v>
      </c>
      <c r="B134" s="14">
        <v>70307</v>
      </c>
      <c r="C134" s="1" t="s">
        <v>172</v>
      </c>
      <c r="D134" s="13">
        <v>2124</v>
      </c>
    </row>
    <row r="135" spans="1:4">
      <c r="A135" s="1" t="s">
        <v>25</v>
      </c>
      <c r="B135" s="14">
        <v>70316</v>
      </c>
      <c r="C135" s="1" t="s">
        <v>173</v>
      </c>
      <c r="D135" s="13">
        <v>1450</v>
      </c>
    </row>
    <row r="136" spans="1:4">
      <c r="A136" s="1" t="s">
        <v>25</v>
      </c>
      <c r="B136" s="14">
        <v>70319</v>
      </c>
      <c r="C136" s="1" t="s">
        <v>174</v>
      </c>
      <c r="D136" s="13">
        <v>1552</v>
      </c>
    </row>
    <row r="137" spans="1:4">
      <c r="A137" s="1" t="s">
        <v>25</v>
      </c>
      <c r="B137" s="14">
        <v>71311</v>
      </c>
      <c r="C137" s="1" t="s">
        <v>175</v>
      </c>
      <c r="D137" s="13">
        <v>1408</v>
      </c>
    </row>
    <row r="138" spans="1:4">
      <c r="A138" s="1" t="s">
        <v>25</v>
      </c>
      <c r="B138" s="14">
        <v>71317</v>
      </c>
      <c r="C138" s="1" t="s">
        <v>176</v>
      </c>
      <c r="D138" s="13">
        <v>618</v>
      </c>
    </row>
    <row r="139" spans="1:4">
      <c r="A139" s="1" t="s">
        <v>25</v>
      </c>
      <c r="B139" s="14">
        <v>71318</v>
      </c>
      <c r="C139" s="1" t="s">
        <v>177</v>
      </c>
      <c r="D139" s="13">
        <v>382</v>
      </c>
    </row>
    <row r="140" spans="1:4">
      <c r="A140" s="1" t="s">
        <v>25</v>
      </c>
      <c r="B140" s="14">
        <v>74308</v>
      </c>
      <c r="C140" s="1" t="s">
        <v>178</v>
      </c>
      <c r="D140" s="13">
        <v>717</v>
      </c>
    </row>
    <row r="141" spans="1:4">
      <c r="A141" s="1" t="s">
        <v>25</v>
      </c>
      <c r="B141" s="14">
        <v>74313</v>
      </c>
      <c r="C141" s="1" t="s">
        <v>179</v>
      </c>
      <c r="D141" s="13">
        <v>369</v>
      </c>
    </row>
    <row r="142" spans="1:4">
      <c r="A142" s="1" t="s">
        <v>25</v>
      </c>
      <c r="B142" s="14">
        <v>74323</v>
      </c>
      <c r="C142" s="1" t="s">
        <v>180</v>
      </c>
      <c r="D142" s="13">
        <v>576</v>
      </c>
    </row>
    <row r="143" spans="1:4">
      <c r="A143" s="1" t="s">
        <v>25</v>
      </c>
      <c r="B143" s="14">
        <v>74328</v>
      </c>
      <c r="C143" s="1" t="s">
        <v>181</v>
      </c>
      <c r="D143" s="13">
        <v>294</v>
      </c>
    </row>
    <row r="144" spans="1:4">
      <c r="A144" s="1" t="s">
        <v>25</v>
      </c>
      <c r="B144" s="14">
        <v>74339</v>
      </c>
      <c r="C144" s="1" t="s">
        <v>182</v>
      </c>
      <c r="D144" s="13">
        <v>367</v>
      </c>
    </row>
    <row r="145" spans="1:4">
      <c r="A145" s="1" t="s">
        <v>26</v>
      </c>
      <c r="B145" s="14">
        <v>80302</v>
      </c>
      <c r="C145" s="1" t="s">
        <v>183</v>
      </c>
      <c r="D145" s="13">
        <v>1331</v>
      </c>
    </row>
    <row r="146" spans="1:4">
      <c r="A146" s="1" t="s">
        <v>26</v>
      </c>
      <c r="B146" s="14">
        <v>80305</v>
      </c>
      <c r="C146" s="1" t="s">
        <v>184</v>
      </c>
      <c r="D146" s="13">
        <v>1176</v>
      </c>
    </row>
    <row r="147" spans="1:4">
      <c r="A147" s="1" t="s">
        <v>26</v>
      </c>
      <c r="B147" s="14">
        <v>80307</v>
      </c>
      <c r="C147" s="1" t="s">
        <v>185</v>
      </c>
      <c r="D147" s="13">
        <v>1022</v>
      </c>
    </row>
    <row r="148" spans="1:4">
      <c r="A148" s="1" t="s">
        <v>26</v>
      </c>
      <c r="B148" s="14">
        <v>80308</v>
      </c>
      <c r="C148" s="1" t="s">
        <v>186</v>
      </c>
      <c r="D148" s="13">
        <v>952</v>
      </c>
    </row>
    <row r="149" spans="1:4">
      <c r="A149" s="1" t="s">
        <v>26</v>
      </c>
      <c r="B149" s="14">
        <v>81311</v>
      </c>
      <c r="C149" s="1" t="s">
        <v>187</v>
      </c>
      <c r="D149" s="13">
        <v>383</v>
      </c>
    </row>
    <row r="150" spans="1:4">
      <c r="A150" s="1" t="s">
        <v>26</v>
      </c>
      <c r="B150" s="14">
        <v>81312</v>
      </c>
      <c r="C150" s="1" t="s">
        <v>188</v>
      </c>
      <c r="D150" s="13">
        <v>62</v>
      </c>
    </row>
    <row r="151" spans="1:4">
      <c r="A151" s="1" t="s">
        <v>26</v>
      </c>
      <c r="B151" s="14">
        <v>81313</v>
      </c>
      <c r="C151" s="1" t="s">
        <v>189</v>
      </c>
      <c r="D151" s="13">
        <v>82</v>
      </c>
    </row>
    <row r="152" spans="1:4">
      <c r="A152" s="1" t="s">
        <v>26</v>
      </c>
      <c r="B152" s="14">
        <v>81314</v>
      </c>
      <c r="C152" s="1" t="s">
        <v>190</v>
      </c>
      <c r="D152" s="13">
        <v>504</v>
      </c>
    </row>
    <row r="153" spans="1:4">
      <c r="A153" s="1" t="s">
        <v>26</v>
      </c>
      <c r="B153" s="14">
        <v>84309</v>
      </c>
      <c r="C153" s="1" t="s">
        <v>191</v>
      </c>
      <c r="D153" s="13">
        <v>629</v>
      </c>
    </row>
    <row r="154" spans="1:4">
      <c r="A154" s="1" t="s">
        <v>27</v>
      </c>
      <c r="B154" s="14">
        <v>90305</v>
      </c>
      <c r="C154" s="1" t="s">
        <v>192</v>
      </c>
      <c r="D154" s="13">
        <v>1521</v>
      </c>
    </row>
    <row r="155" spans="1:4">
      <c r="A155" s="1" t="s">
        <v>27</v>
      </c>
      <c r="B155" s="14">
        <v>90306</v>
      </c>
      <c r="C155" s="1" t="s">
        <v>193</v>
      </c>
      <c r="D155" s="13">
        <v>801</v>
      </c>
    </row>
    <row r="156" spans="1:4">
      <c r="A156" s="1" t="s">
        <v>27</v>
      </c>
      <c r="B156" s="14">
        <v>90315</v>
      </c>
      <c r="C156" s="1" t="s">
        <v>194</v>
      </c>
      <c r="D156" s="13">
        <v>1342</v>
      </c>
    </row>
    <row r="157" spans="1:4">
      <c r="A157" s="1" t="s">
        <v>27</v>
      </c>
      <c r="B157" s="14">
        <v>91307</v>
      </c>
      <c r="C157" s="1" t="s">
        <v>195</v>
      </c>
      <c r="D157" s="13">
        <v>219</v>
      </c>
    </row>
    <row r="158" spans="1:4">
      <c r="A158" s="1" t="s">
        <v>27</v>
      </c>
      <c r="B158" s="14">
        <v>91308</v>
      </c>
      <c r="C158" s="1" t="s">
        <v>196</v>
      </c>
      <c r="D158" s="13">
        <v>926</v>
      </c>
    </row>
    <row r="159" spans="1:4">
      <c r="A159" s="1" t="s">
        <v>27</v>
      </c>
      <c r="B159" s="14">
        <v>91311</v>
      </c>
      <c r="C159" s="1" t="s">
        <v>197</v>
      </c>
      <c r="D159" s="13">
        <v>261</v>
      </c>
    </row>
    <row r="160" spans="1:4">
      <c r="A160" s="1" t="s">
        <v>27</v>
      </c>
      <c r="B160" s="14">
        <v>91312</v>
      </c>
      <c r="C160" s="1" t="s">
        <v>198</v>
      </c>
      <c r="D160" s="13">
        <v>401</v>
      </c>
    </row>
    <row r="161" spans="1:4">
      <c r="A161" s="1" t="s">
        <v>27</v>
      </c>
      <c r="B161" s="14">
        <v>91316</v>
      </c>
      <c r="C161" s="1" t="s">
        <v>199</v>
      </c>
      <c r="D161" s="13">
        <v>544</v>
      </c>
    </row>
    <row r="162" spans="1:4">
      <c r="A162" s="1" t="s">
        <v>27</v>
      </c>
      <c r="B162" s="14">
        <v>91318</v>
      </c>
      <c r="C162" s="1" t="s">
        <v>200</v>
      </c>
      <c r="D162" s="13">
        <v>661</v>
      </c>
    </row>
    <row r="163" spans="1:4">
      <c r="A163" s="1" t="s">
        <v>27</v>
      </c>
      <c r="B163" s="14">
        <v>91319</v>
      </c>
      <c r="C163" s="1" t="s">
        <v>201</v>
      </c>
      <c r="D163" s="13">
        <v>272</v>
      </c>
    </row>
    <row r="164" spans="1:4">
      <c r="A164" s="1" t="s">
        <v>27</v>
      </c>
      <c r="B164" s="14">
        <v>91320</v>
      </c>
      <c r="C164" s="1" t="s">
        <v>202</v>
      </c>
      <c r="D164" s="13">
        <v>124</v>
      </c>
    </row>
    <row r="165" spans="1:4">
      <c r="A165" s="1" t="s">
        <v>27</v>
      </c>
      <c r="B165" s="14">
        <v>94301</v>
      </c>
      <c r="C165" s="1" t="s">
        <v>203</v>
      </c>
      <c r="D165" s="13">
        <v>533</v>
      </c>
    </row>
    <row r="166" spans="1:4">
      <c r="A166" s="1" t="s">
        <v>27</v>
      </c>
      <c r="B166" s="14">
        <v>94307</v>
      </c>
      <c r="C166" s="1" t="s">
        <v>204</v>
      </c>
      <c r="D166" s="13">
        <v>459</v>
      </c>
    </row>
    <row r="167" spans="1:4">
      <c r="A167" s="1" t="s">
        <v>27</v>
      </c>
      <c r="B167" s="14">
        <v>94308</v>
      </c>
      <c r="C167" s="1" t="s">
        <v>205</v>
      </c>
      <c r="D167" s="13">
        <v>65</v>
      </c>
    </row>
    <row r="168" spans="1:4">
      <c r="A168" s="1" t="s">
        <v>27</v>
      </c>
      <c r="B168" s="14">
        <v>94326</v>
      </c>
      <c r="C168" s="1" t="s">
        <v>206</v>
      </c>
      <c r="D168" s="13">
        <v>121</v>
      </c>
    </row>
    <row r="169" spans="1:4">
      <c r="A169" s="1" t="s">
        <v>28</v>
      </c>
      <c r="B169" s="11">
        <v>100301</v>
      </c>
      <c r="C169" s="1" t="s">
        <v>207</v>
      </c>
      <c r="D169" s="13">
        <v>1074</v>
      </c>
    </row>
    <row r="170" spans="1:4">
      <c r="A170" s="1" t="s">
        <v>28</v>
      </c>
      <c r="B170" s="11">
        <v>100302</v>
      </c>
      <c r="C170" s="1" t="s">
        <v>208</v>
      </c>
      <c r="D170" s="13">
        <v>217</v>
      </c>
    </row>
    <row r="171" spans="1:4">
      <c r="A171" s="1" t="s">
        <v>28</v>
      </c>
      <c r="B171" s="11">
        <v>101303</v>
      </c>
      <c r="C171" s="1" t="s">
        <v>209</v>
      </c>
      <c r="D171" s="13">
        <v>54</v>
      </c>
    </row>
    <row r="172" spans="1:4">
      <c r="A172" s="1" t="s">
        <v>28</v>
      </c>
      <c r="B172" s="11">
        <v>101304</v>
      </c>
      <c r="C172" s="1" t="s">
        <v>210</v>
      </c>
      <c r="D172" s="13">
        <v>908</v>
      </c>
    </row>
    <row r="173" spans="1:4">
      <c r="A173" s="1" t="s">
        <v>28</v>
      </c>
      <c r="B173" s="11">
        <v>104319</v>
      </c>
      <c r="C173" s="1" t="s">
        <v>211</v>
      </c>
      <c r="D173" s="13">
        <v>501</v>
      </c>
    </row>
    <row r="174" spans="1:4">
      <c r="A174" s="1" t="s">
        <v>28</v>
      </c>
      <c r="B174" s="11">
        <v>104326</v>
      </c>
      <c r="C174" s="1" t="s">
        <v>212</v>
      </c>
      <c r="D174" s="13">
        <v>546</v>
      </c>
    </row>
    <row r="175" spans="1:4">
      <c r="A175" s="1" t="s">
        <v>29</v>
      </c>
      <c r="B175" s="11">
        <v>110302</v>
      </c>
      <c r="C175" s="1" t="s">
        <v>213</v>
      </c>
      <c r="D175" s="13">
        <v>1038</v>
      </c>
    </row>
    <row r="176" spans="1:4">
      <c r="A176" s="1" t="s">
        <v>29</v>
      </c>
      <c r="B176" s="11">
        <v>110308</v>
      </c>
      <c r="C176" s="1" t="s">
        <v>214</v>
      </c>
      <c r="D176" s="13">
        <v>1501</v>
      </c>
    </row>
    <row r="177" spans="1:4">
      <c r="A177" s="1" t="s">
        <v>29</v>
      </c>
      <c r="B177" s="11">
        <v>110311</v>
      </c>
      <c r="C177" s="1" t="s">
        <v>215</v>
      </c>
      <c r="D177" s="13">
        <v>953</v>
      </c>
    </row>
    <row r="178" spans="1:4">
      <c r="A178" s="1" t="s">
        <v>29</v>
      </c>
      <c r="B178" s="11">
        <v>110312</v>
      </c>
      <c r="C178" s="1" t="s">
        <v>216</v>
      </c>
      <c r="D178" s="13">
        <v>997</v>
      </c>
    </row>
    <row r="179" spans="1:4">
      <c r="A179" s="1" t="s">
        <v>29</v>
      </c>
      <c r="B179" s="11">
        <v>110314</v>
      </c>
      <c r="C179" s="1" t="s">
        <v>217</v>
      </c>
      <c r="D179" s="13">
        <v>591</v>
      </c>
    </row>
    <row r="180" spans="1:4">
      <c r="A180" s="1" t="s">
        <v>29</v>
      </c>
      <c r="B180" s="11">
        <v>110315</v>
      </c>
      <c r="C180" s="1" t="s">
        <v>218</v>
      </c>
      <c r="D180" s="13">
        <v>920</v>
      </c>
    </row>
    <row r="181" spans="1:4">
      <c r="A181" s="1" t="s">
        <v>29</v>
      </c>
      <c r="B181" s="11">
        <v>110317</v>
      </c>
      <c r="C181" s="1" t="s">
        <v>219</v>
      </c>
      <c r="D181" s="13">
        <v>1204</v>
      </c>
    </row>
    <row r="182" spans="1:4">
      <c r="A182" s="1" t="s">
        <v>29</v>
      </c>
      <c r="B182" s="11">
        <v>110328</v>
      </c>
      <c r="C182" s="1" t="s">
        <v>220</v>
      </c>
      <c r="D182" s="13">
        <v>408</v>
      </c>
    </row>
    <row r="183" spans="1:4">
      <c r="A183" s="1" t="s">
        <v>29</v>
      </c>
      <c r="B183" s="11">
        <v>111313</v>
      </c>
      <c r="C183" s="1" t="s">
        <v>221</v>
      </c>
      <c r="D183" s="13">
        <v>882</v>
      </c>
    </row>
    <row r="184" spans="1:4">
      <c r="A184" s="1" t="s">
        <v>29</v>
      </c>
      <c r="B184" s="11">
        <v>111320</v>
      </c>
      <c r="C184" s="1" t="s">
        <v>222</v>
      </c>
      <c r="D184" s="13">
        <v>1546</v>
      </c>
    </row>
    <row r="185" spans="1:4">
      <c r="A185" s="1" t="s">
        <v>29</v>
      </c>
      <c r="B185" s="11">
        <v>111321</v>
      </c>
      <c r="C185" s="1" t="s">
        <v>223</v>
      </c>
      <c r="D185" s="13">
        <v>636</v>
      </c>
    </row>
    <row r="186" spans="1:4">
      <c r="A186" s="1" t="s">
        <v>29</v>
      </c>
      <c r="B186" s="11">
        <v>111322</v>
      </c>
      <c r="C186" s="1" t="s">
        <v>224</v>
      </c>
      <c r="D186" s="13">
        <v>194</v>
      </c>
    </row>
    <row r="187" spans="1:4">
      <c r="A187" s="1" t="s">
        <v>29</v>
      </c>
      <c r="B187" s="11">
        <v>111323</v>
      </c>
      <c r="C187" s="1" t="s">
        <v>225</v>
      </c>
      <c r="D187" s="13">
        <v>829</v>
      </c>
    </row>
    <row r="188" spans="1:4">
      <c r="A188" s="1" t="s">
        <v>29</v>
      </c>
      <c r="B188" s="11">
        <v>111326</v>
      </c>
      <c r="C188" s="1" t="s">
        <v>226</v>
      </c>
      <c r="D188" s="13">
        <v>24</v>
      </c>
    </row>
    <row r="189" spans="1:4">
      <c r="A189" s="1" t="s">
        <v>29</v>
      </c>
      <c r="B189" s="11">
        <v>114306</v>
      </c>
      <c r="C189" s="1" t="s">
        <v>227</v>
      </c>
      <c r="D189" s="13">
        <v>641</v>
      </c>
    </row>
    <row r="190" spans="1:4">
      <c r="A190" s="1" t="s">
        <v>29</v>
      </c>
      <c r="B190" s="11">
        <v>114307</v>
      </c>
      <c r="C190" s="1" t="s">
        <v>228</v>
      </c>
      <c r="D190" s="13">
        <v>395</v>
      </c>
    </row>
    <row r="191" spans="1:4">
      <c r="A191" s="1" t="s">
        <v>30</v>
      </c>
      <c r="B191" s="11">
        <v>120303</v>
      </c>
      <c r="C191" s="1" t="s">
        <v>229</v>
      </c>
      <c r="D191" s="13">
        <v>1908</v>
      </c>
    </row>
    <row r="192" spans="1:4">
      <c r="A192" s="1" t="s">
        <v>30</v>
      </c>
      <c r="B192" s="11">
        <v>120304</v>
      </c>
      <c r="C192" s="1" t="s">
        <v>230</v>
      </c>
      <c r="D192" s="13">
        <v>1391</v>
      </c>
    </row>
    <row r="193" spans="1:4">
      <c r="A193" s="1" t="s">
        <v>30</v>
      </c>
      <c r="B193" s="11">
        <v>120311</v>
      </c>
      <c r="C193" s="1" t="s">
        <v>231</v>
      </c>
      <c r="D193" s="13">
        <v>671</v>
      </c>
    </row>
    <row r="194" spans="1:4">
      <c r="A194" s="1" t="s">
        <v>30</v>
      </c>
      <c r="B194" s="11">
        <v>120319</v>
      </c>
      <c r="C194" s="1" t="s">
        <v>232</v>
      </c>
      <c r="D194" s="13">
        <v>1933</v>
      </c>
    </row>
    <row r="195" spans="1:4">
      <c r="A195" s="1" t="s">
        <v>30</v>
      </c>
      <c r="B195" s="11">
        <v>121302</v>
      </c>
      <c r="C195" s="1" t="s">
        <v>233</v>
      </c>
      <c r="D195" s="13">
        <v>11</v>
      </c>
    </row>
    <row r="196" spans="1:4">
      <c r="A196" s="1" t="s">
        <v>30</v>
      </c>
      <c r="B196" s="11">
        <v>121306</v>
      </c>
      <c r="C196" s="1" t="s">
        <v>234</v>
      </c>
      <c r="D196" s="13">
        <v>232</v>
      </c>
    </row>
    <row r="197" spans="1:4">
      <c r="A197" s="1" t="s">
        <v>30</v>
      </c>
      <c r="B197" s="11">
        <v>121307</v>
      </c>
      <c r="C197" s="1" t="s">
        <v>235</v>
      </c>
      <c r="D197" s="13">
        <v>371</v>
      </c>
    </row>
    <row r="198" spans="1:4">
      <c r="A198" s="1" t="s">
        <v>30</v>
      </c>
      <c r="B198" s="11">
        <v>121318</v>
      </c>
      <c r="C198" s="1" t="s">
        <v>236</v>
      </c>
      <c r="D198" s="13">
        <v>289</v>
      </c>
    </row>
    <row r="199" spans="1:4">
      <c r="A199" s="1" t="s">
        <v>30</v>
      </c>
      <c r="B199" s="11">
        <v>121320</v>
      </c>
      <c r="C199" s="1" t="s">
        <v>237</v>
      </c>
      <c r="D199" s="13">
        <v>186</v>
      </c>
    </row>
    <row r="200" spans="1:4">
      <c r="A200" s="1" t="s">
        <v>30</v>
      </c>
      <c r="B200" s="11">
        <v>124302</v>
      </c>
      <c r="C200" s="1" t="s">
        <v>238</v>
      </c>
      <c r="D200" s="13">
        <v>735</v>
      </c>
    </row>
    <row r="201" spans="1:4">
      <c r="A201" s="1" t="s">
        <v>30</v>
      </c>
      <c r="B201" s="11">
        <v>124311</v>
      </c>
      <c r="C201" s="1" t="s">
        <v>239</v>
      </c>
      <c r="D201" s="13">
        <v>532</v>
      </c>
    </row>
    <row r="202" spans="1:4">
      <c r="A202" s="1" t="s">
        <v>30</v>
      </c>
      <c r="B202" s="11">
        <v>124313</v>
      </c>
      <c r="C202" s="1" t="s">
        <v>240</v>
      </c>
      <c r="D202" s="13">
        <v>567</v>
      </c>
    </row>
    <row r="203" spans="1:4">
      <c r="A203" s="1" t="s">
        <v>30</v>
      </c>
      <c r="B203" s="11">
        <v>124322</v>
      </c>
      <c r="C203" s="1" t="s">
        <v>241</v>
      </c>
      <c r="D203" s="13">
        <v>550</v>
      </c>
    </row>
    <row r="204" spans="1:4">
      <c r="A204" s="1" t="s">
        <v>30</v>
      </c>
      <c r="B204" s="11">
        <v>124333</v>
      </c>
      <c r="C204" s="1" t="s">
        <v>242</v>
      </c>
      <c r="D204" s="13">
        <v>93</v>
      </c>
    </row>
    <row r="205" spans="1:4">
      <c r="A205" s="1" t="s">
        <v>30</v>
      </c>
      <c r="B205" s="11">
        <v>124340</v>
      </c>
      <c r="C205" s="1" t="s">
        <v>243</v>
      </c>
      <c r="D205" s="13">
        <v>700</v>
      </c>
    </row>
    <row r="206" spans="1:4">
      <c r="A206" s="1" t="s">
        <v>31</v>
      </c>
      <c r="B206" s="11">
        <v>130302</v>
      </c>
      <c r="C206" s="1" t="s">
        <v>244</v>
      </c>
      <c r="D206" s="13">
        <v>1528</v>
      </c>
    </row>
    <row r="207" spans="1:4">
      <c r="A207" s="1" t="s">
        <v>31</v>
      </c>
      <c r="B207" s="11">
        <v>130305</v>
      </c>
      <c r="C207" s="1" t="s">
        <v>245</v>
      </c>
      <c r="D207" s="13">
        <v>1731</v>
      </c>
    </row>
    <row r="208" spans="1:4">
      <c r="A208" s="1" t="s">
        <v>31</v>
      </c>
      <c r="B208" s="11">
        <v>130306</v>
      </c>
      <c r="C208" s="1" t="s">
        <v>246</v>
      </c>
      <c r="D208" s="13">
        <v>1365</v>
      </c>
    </row>
    <row r="209" spans="1:4">
      <c r="A209" s="1" t="s">
        <v>31</v>
      </c>
      <c r="B209" s="11">
        <v>130322</v>
      </c>
      <c r="C209" s="1" t="s">
        <v>247</v>
      </c>
      <c r="D209" s="13">
        <v>777</v>
      </c>
    </row>
    <row r="210" spans="1:4">
      <c r="A210" s="1" t="s">
        <v>31</v>
      </c>
      <c r="B210" s="11">
        <v>131302</v>
      </c>
      <c r="C210" s="1" t="s">
        <v>248</v>
      </c>
      <c r="D210" s="13">
        <v>20</v>
      </c>
    </row>
    <row r="211" spans="1:4">
      <c r="A211" s="1" t="s">
        <v>31</v>
      </c>
      <c r="B211" s="11">
        <v>131307</v>
      </c>
      <c r="C211" s="1" t="s">
        <v>249</v>
      </c>
      <c r="D211" s="13">
        <v>1852</v>
      </c>
    </row>
    <row r="212" spans="1:4">
      <c r="A212" s="1" t="s">
        <v>31</v>
      </c>
      <c r="B212" s="11">
        <v>131308</v>
      </c>
      <c r="C212" s="1" t="s">
        <v>250</v>
      </c>
      <c r="D212" s="13">
        <v>219</v>
      </c>
    </row>
    <row r="213" spans="1:4">
      <c r="A213" s="1" t="s">
        <v>31</v>
      </c>
      <c r="B213" s="11">
        <v>131311</v>
      </c>
      <c r="C213" s="1" t="s">
        <v>251</v>
      </c>
      <c r="D213" s="13">
        <v>549</v>
      </c>
    </row>
    <row r="214" spans="1:4">
      <c r="A214" s="1" t="s">
        <v>31</v>
      </c>
      <c r="B214" s="11">
        <v>134304</v>
      </c>
      <c r="C214" s="1" t="s">
        <v>145</v>
      </c>
      <c r="D214" s="13">
        <v>621</v>
      </c>
    </row>
    <row r="215" spans="1:4">
      <c r="A215" s="1" t="s">
        <v>31</v>
      </c>
      <c r="B215" s="11">
        <v>134321</v>
      </c>
      <c r="C215" s="1" t="s">
        <v>252</v>
      </c>
      <c r="D215" s="13">
        <v>260</v>
      </c>
    </row>
    <row r="216" spans="1:4">
      <c r="A216" s="1" t="s">
        <v>31</v>
      </c>
      <c r="B216" s="11">
        <v>134324</v>
      </c>
      <c r="C216" s="1" t="s">
        <v>253</v>
      </c>
      <c r="D216" s="13">
        <v>618</v>
      </c>
    </row>
    <row r="217" spans="1:4">
      <c r="A217" s="1" t="s">
        <v>31</v>
      </c>
      <c r="B217" s="11">
        <v>134334</v>
      </c>
      <c r="C217" s="1" t="s">
        <v>254</v>
      </c>
      <c r="D217" s="13">
        <v>178</v>
      </c>
    </row>
    <row r="218" spans="1:4">
      <c r="A218" s="1" t="s">
        <v>18</v>
      </c>
      <c r="B218" s="11">
        <v>140301</v>
      </c>
      <c r="C218" s="1" t="s">
        <v>255</v>
      </c>
      <c r="D218" s="13">
        <v>187</v>
      </c>
    </row>
    <row r="219" spans="1:4">
      <c r="A219" s="1" t="s">
        <v>18</v>
      </c>
      <c r="B219" s="11">
        <v>140302</v>
      </c>
      <c r="C219" s="1" t="s">
        <v>256</v>
      </c>
      <c r="D219" s="13">
        <v>846</v>
      </c>
    </row>
    <row r="220" spans="1:4">
      <c r="A220" s="1" t="s">
        <v>18</v>
      </c>
      <c r="B220" s="11">
        <v>140303</v>
      </c>
      <c r="C220" s="1" t="s">
        <v>257</v>
      </c>
      <c r="D220" s="13">
        <v>894</v>
      </c>
    </row>
    <row r="221" spans="1:4">
      <c r="A221" s="1" t="s">
        <v>18</v>
      </c>
      <c r="B221" s="11">
        <v>141301</v>
      </c>
      <c r="C221" s="1" t="s">
        <v>258</v>
      </c>
      <c r="D221" s="13">
        <v>131</v>
      </c>
    </row>
    <row r="222" spans="1:4">
      <c r="A222" s="1" t="s">
        <v>18</v>
      </c>
      <c r="B222" s="11">
        <v>141307</v>
      </c>
      <c r="C222" s="1" t="s">
        <v>259</v>
      </c>
      <c r="D222" s="13">
        <v>79</v>
      </c>
    </row>
    <row r="223" spans="1:4">
      <c r="A223" s="1" t="s">
        <v>18</v>
      </c>
      <c r="B223" s="11">
        <v>144322</v>
      </c>
      <c r="C223" s="1" t="s">
        <v>260</v>
      </c>
      <c r="D223" s="13">
        <v>35</v>
      </c>
    </row>
    <row r="224" spans="1:4">
      <c r="A224" s="1" t="s">
        <v>32</v>
      </c>
      <c r="B224" s="11">
        <v>150302</v>
      </c>
      <c r="C224" s="1" t="s">
        <v>261</v>
      </c>
      <c r="D224" s="13">
        <v>1035</v>
      </c>
    </row>
    <row r="225" spans="1:4">
      <c r="A225" s="1" t="s">
        <v>32</v>
      </c>
      <c r="B225" s="11">
        <v>150303</v>
      </c>
      <c r="C225" s="1" t="s">
        <v>262</v>
      </c>
      <c r="D225" s="13">
        <v>1071</v>
      </c>
    </row>
    <row r="226" spans="1:4">
      <c r="A226" s="1" t="s">
        <v>32</v>
      </c>
      <c r="B226" s="11">
        <v>150309</v>
      </c>
      <c r="C226" s="1" t="s">
        <v>263</v>
      </c>
      <c r="D226" s="13">
        <v>448</v>
      </c>
    </row>
    <row r="227" spans="1:4">
      <c r="A227" s="1" t="s">
        <v>32</v>
      </c>
      <c r="B227" s="11">
        <v>151306</v>
      </c>
      <c r="C227" s="1" t="s">
        <v>264</v>
      </c>
      <c r="D227" s="13">
        <v>576</v>
      </c>
    </row>
    <row r="228" spans="1:4">
      <c r="A228" s="1" t="s">
        <v>32</v>
      </c>
      <c r="B228" s="11">
        <v>151307</v>
      </c>
      <c r="C228" s="1" t="s">
        <v>265</v>
      </c>
      <c r="D228" s="13">
        <v>886</v>
      </c>
    </row>
    <row r="229" spans="1:4">
      <c r="A229" s="1" t="s">
        <v>32</v>
      </c>
      <c r="B229" s="11">
        <v>151312</v>
      </c>
      <c r="C229" s="1" t="s">
        <v>266</v>
      </c>
      <c r="D229" s="13">
        <v>572</v>
      </c>
    </row>
    <row r="230" spans="1:4">
      <c r="A230" s="1" t="s">
        <v>32</v>
      </c>
      <c r="B230" s="11">
        <v>154301</v>
      </c>
      <c r="C230" s="1" t="s">
        <v>267</v>
      </c>
      <c r="D230" s="13">
        <v>147</v>
      </c>
    </row>
    <row r="231" spans="1:4">
      <c r="A231" s="1" t="s">
        <v>32</v>
      </c>
      <c r="B231" s="11">
        <v>154399</v>
      </c>
      <c r="C231" s="1" t="s">
        <v>268</v>
      </c>
      <c r="D231" s="13">
        <v>9</v>
      </c>
    </row>
    <row r="232" spans="1:4">
      <c r="A232" s="1" t="s">
        <v>33</v>
      </c>
      <c r="B232" s="11">
        <v>160302</v>
      </c>
      <c r="C232" s="1" t="s">
        <v>269</v>
      </c>
      <c r="D232" s="13">
        <v>1119</v>
      </c>
    </row>
    <row r="233" spans="1:4">
      <c r="A233" s="1" t="s">
        <v>34</v>
      </c>
      <c r="B233" s="11">
        <v>170301</v>
      </c>
      <c r="C233" s="1" t="s">
        <v>270</v>
      </c>
      <c r="D233" s="13">
        <v>807</v>
      </c>
    </row>
    <row r="234" spans="1:4">
      <c r="A234" s="1" t="s">
        <v>34</v>
      </c>
      <c r="B234" s="11">
        <v>170302</v>
      </c>
      <c r="C234" s="1" t="s">
        <v>271</v>
      </c>
      <c r="D234" s="13">
        <v>615</v>
      </c>
    </row>
    <row r="235" spans="1:4">
      <c r="A235" s="1" t="s">
        <v>34</v>
      </c>
      <c r="B235" s="11">
        <v>171306</v>
      </c>
      <c r="C235" s="1" t="s">
        <v>272</v>
      </c>
      <c r="D235" s="13">
        <v>1737</v>
      </c>
    </row>
    <row r="236" spans="1:4">
      <c r="A236" s="1" t="s">
        <v>34</v>
      </c>
      <c r="B236" s="11">
        <v>171308</v>
      </c>
      <c r="C236" s="1" t="s">
        <v>273</v>
      </c>
      <c r="D236" s="13">
        <v>151</v>
      </c>
    </row>
    <row r="237" spans="1:4">
      <c r="A237" s="1" t="s">
        <v>34</v>
      </c>
      <c r="B237" s="11">
        <v>173304</v>
      </c>
      <c r="C237" s="1" t="s">
        <v>274</v>
      </c>
      <c r="D237" s="13">
        <v>267</v>
      </c>
    </row>
    <row r="238" spans="1:4">
      <c r="A238" s="1" t="s">
        <v>34</v>
      </c>
      <c r="B238" s="11">
        <v>173306</v>
      </c>
      <c r="C238" s="1" t="s">
        <v>275</v>
      </c>
      <c r="D238" s="13">
        <v>395</v>
      </c>
    </row>
    <row r="239" spans="1:4">
      <c r="A239" s="1" t="s">
        <v>34</v>
      </c>
      <c r="B239" s="11">
        <v>173307</v>
      </c>
      <c r="C239" s="1" t="s">
        <v>276</v>
      </c>
      <c r="D239" s="13">
        <v>284</v>
      </c>
    </row>
    <row r="240" spans="1:4">
      <c r="A240" s="1" t="s">
        <v>34</v>
      </c>
      <c r="B240" s="11">
        <v>173314</v>
      </c>
      <c r="C240" s="1" t="s">
        <v>277</v>
      </c>
      <c r="D240" s="13">
        <v>176</v>
      </c>
    </row>
    <row r="241" spans="1:4">
      <c r="A241" s="1" t="s">
        <v>35</v>
      </c>
      <c r="B241" s="11">
        <v>180301</v>
      </c>
      <c r="C241" s="1" t="s">
        <v>278</v>
      </c>
      <c r="D241" s="13">
        <v>678</v>
      </c>
    </row>
    <row r="242" spans="1:4">
      <c r="A242" s="1" t="s">
        <v>35</v>
      </c>
      <c r="B242" s="11">
        <v>180302</v>
      </c>
      <c r="C242" s="1" t="s">
        <v>279</v>
      </c>
      <c r="D242" s="13">
        <v>1880</v>
      </c>
    </row>
    <row r="243" spans="1:4">
      <c r="A243" s="1" t="s">
        <v>35</v>
      </c>
      <c r="B243" s="11">
        <v>180309</v>
      </c>
      <c r="C243" s="1" t="s">
        <v>280</v>
      </c>
      <c r="D243" s="13">
        <v>1898</v>
      </c>
    </row>
    <row r="244" spans="1:4">
      <c r="A244" s="1" t="s">
        <v>35</v>
      </c>
      <c r="B244" s="11">
        <v>181305</v>
      </c>
      <c r="C244" s="1" t="s">
        <v>281</v>
      </c>
      <c r="D244" s="13">
        <v>4481</v>
      </c>
    </row>
    <row r="245" spans="1:4">
      <c r="A245" s="1" t="s">
        <v>35</v>
      </c>
      <c r="B245" s="11">
        <v>181306</v>
      </c>
      <c r="C245" s="1" t="s">
        <v>282</v>
      </c>
      <c r="D245" s="13">
        <v>1060</v>
      </c>
    </row>
    <row r="246" spans="1:4">
      <c r="A246" s="1" t="s">
        <v>35</v>
      </c>
      <c r="B246" s="11">
        <v>181307</v>
      </c>
      <c r="C246" s="1" t="s">
        <v>283</v>
      </c>
      <c r="D246" s="13">
        <v>1850</v>
      </c>
    </row>
    <row r="247" spans="1:4">
      <c r="A247" s="1" t="s">
        <v>35</v>
      </c>
      <c r="B247" s="11">
        <v>181308</v>
      </c>
      <c r="C247" s="1" t="s">
        <v>284</v>
      </c>
      <c r="D247" s="13">
        <v>283</v>
      </c>
    </row>
    <row r="248" spans="1:4">
      <c r="A248" s="1" t="s">
        <v>35</v>
      </c>
      <c r="B248" s="11">
        <v>183306</v>
      </c>
      <c r="C248" s="1" t="s">
        <v>285</v>
      </c>
      <c r="D248" s="13">
        <v>919</v>
      </c>
    </row>
    <row r="249" spans="1:4">
      <c r="A249" s="1" t="s">
        <v>35</v>
      </c>
      <c r="B249" s="11">
        <v>183307</v>
      </c>
      <c r="C249" s="1" t="s">
        <v>286</v>
      </c>
      <c r="D249" s="13">
        <v>909</v>
      </c>
    </row>
    <row r="250" spans="1:4">
      <c r="A250" s="1" t="s">
        <v>35</v>
      </c>
      <c r="B250" s="11">
        <v>183313</v>
      </c>
      <c r="C250" s="1" t="s">
        <v>287</v>
      </c>
      <c r="D250" s="13">
        <v>936</v>
      </c>
    </row>
    <row r="251" spans="1:4">
      <c r="A251" s="1" t="s">
        <v>24</v>
      </c>
      <c r="B251" s="11">
        <v>191301</v>
      </c>
      <c r="C251" s="1" t="s">
        <v>288</v>
      </c>
      <c r="D251" s="13">
        <v>824</v>
      </c>
    </row>
    <row r="252" spans="1:4">
      <c r="A252" s="1" t="s">
        <v>24</v>
      </c>
      <c r="B252" s="11">
        <v>191302</v>
      </c>
      <c r="C252" s="1" t="s">
        <v>289</v>
      </c>
      <c r="D252" s="13">
        <v>429</v>
      </c>
    </row>
    <row r="253" spans="1:4">
      <c r="A253" s="1" t="s">
        <v>24</v>
      </c>
      <c r="B253" s="11">
        <v>191305</v>
      </c>
      <c r="C253" s="1" t="s">
        <v>290</v>
      </c>
      <c r="D253" s="13">
        <v>5371</v>
      </c>
    </row>
    <row r="254" spans="1:4">
      <c r="A254" s="1" t="s">
        <v>24</v>
      </c>
      <c r="B254" s="11">
        <v>191308</v>
      </c>
      <c r="C254" s="1" t="s">
        <v>291</v>
      </c>
      <c r="D254" s="13">
        <v>1223</v>
      </c>
    </row>
    <row r="255" spans="1:4">
      <c r="A255" s="1" t="s">
        <v>24</v>
      </c>
      <c r="B255" s="11">
        <v>191309</v>
      </c>
      <c r="C255" s="1" t="s">
        <v>292</v>
      </c>
      <c r="D255" s="13">
        <v>2341</v>
      </c>
    </row>
    <row r="256" spans="1:4">
      <c r="A256" s="1" t="s">
        <v>24</v>
      </c>
      <c r="B256" s="11">
        <v>191311</v>
      </c>
      <c r="C256" s="1" t="s">
        <v>293</v>
      </c>
      <c r="D256" s="13">
        <v>1082</v>
      </c>
    </row>
    <row r="257" spans="1:4">
      <c r="A257" s="1" t="s">
        <v>24</v>
      </c>
      <c r="B257" s="11">
        <v>191313</v>
      </c>
      <c r="C257" s="1" t="s">
        <v>294</v>
      </c>
      <c r="D257" s="13">
        <v>847</v>
      </c>
    </row>
    <row r="258" spans="1:4">
      <c r="A258" s="1" t="s">
        <v>24</v>
      </c>
      <c r="B258" s="11">
        <v>191314</v>
      </c>
      <c r="C258" s="1" t="s">
        <v>295</v>
      </c>
      <c r="D258" s="13">
        <v>2617</v>
      </c>
    </row>
    <row r="259" spans="1:4">
      <c r="A259" s="1" t="s">
        <v>24</v>
      </c>
      <c r="B259" s="11">
        <v>191315</v>
      </c>
      <c r="C259" s="1" t="s">
        <v>296</v>
      </c>
      <c r="D259" s="13">
        <v>53</v>
      </c>
    </row>
    <row r="260" spans="1:4">
      <c r="A260" s="1" t="s">
        <v>24</v>
      </c>
      <c r="B260" s="11">
        <v>193301</v>
      </c>
      <c r="C260" s="1" t="s">
        <v>297</v>
      </c>
      <c r="D260" s="13">
        <v>1906</v>
      </c>
    </row>
    <row r="261" spans="1:4">
      <c r="A261" s="1" t="s">
        <v>24</v>
      </c>
      <c r="B261" s="11">
        <v>193302</v>
      </c>
      <c r="C261" s="1" t="s">
        <v>298</v>
      </c>
      <c r="D261" s="13">
        <v>2706</v>
      </c>
    </row>
    <row r="262" spans="1:4">
      <c r="A262" s="1" t="s">
        <v>24</v>
      </c>
      <c r="B262" s="11">
        <v>193303</v>
      </c>
      <c r="C262" s="1" t="s">
        <v>299</v>
      </c>
      <c r="D262" s="13">
        <v>903</v>
      </c>
    </row>
    <row r="263" spans="1:4">
      <c r="A263" s="1" t="s">
        <v>24</v>
      </c>
      <c r="B263" s="11">
        <v>193313</v>
      </c>
      <c r="C263" s="1" t="s">
        <v>300</v>
      </c>
      <c r="D263" s="13">
        <v>958</v>
      </c>
    </row>
    <row r="264" spans="1:4">
      <c r="A264" s="1" t="s">
        <v>24</v>
      </c>
      <c r="B264" s="11">
        <v>193315</v>
      </c>
      <c r="C264" s="1" t="s">
        <v>301</v>
      </c>
      <c r="D264" s="13">
        <v>1006</v>
      </c>
    </row>
    <row r="265" spans="1:4">
      <c r="A265" s="1" t="s">
        <v>24</v>
      </c>
      <c r="B265" s="11">
        <v>193316</v>
      </c>
      <c r="C265" s="1" t="s">
        <v>302</v>
      </c>
      <c r="D265" s="13">
        <v>1192</v>
      </c>
    </row>
    <row r="266" spans="1:4">
      <c r="A266" s="1" t="s">
        <v>24</v>
      </c>
      <c r="B266" s="11">
        <v>194303</v>
      </c>
      <c r="C266" s="1" t="s">
        <v>303</v>
      </c>
      <c r="D266" s="13">
        <v>2395</v>
      </c>
    </row>
    <row r="267" spans="1:4">
      <c r="A267" s="1" t="s">
        <v>24</v>
      </c>
      <c r="B267" s="11">
        <v>194315</v>
      </c>
      <c r="C267" s="1" t="s">
        <v>304</v>
      </c>
      <c r="D267" s="13">
        <v>2085</v>
      </c>
    </row>
    <row r="268" spans="1:4">
      <c r="A268" s="1" t="s">
        <v>36</v>
      </c>
      <c r="B268" s="11">
        <v>200302</v>
      </c>
      <c r="C268" s="1" t="s">
        <v>305</v>
      </c>
      <c r="D268" s="13">
        <v>1568</v>
      </c>
    </row>
    <row r="269" spans="1:4">
      <c r="A269" s="1" t="s">
        <v>36</v>
      </c>
      <c r="B269" s="11">
        <v>200303</v>
      </c>
      <c r="C269" s="1" t="s">
        <v>306</v>
      </c>
      <c r="D269" s="13">
        <v>2057</v>
      </c>
    </row>
    <row r="270" spans="1:4">
      <c r="A270" s="1" t="s">
        <v>36</v>
      </c>
      <c r="B270" s="11">
        <v>201304</v>
      </c>
      <c r="C270" s="1" t="s">
        <v>307</v>
      </c>
      <c r="D270" s="13">
        <v>719</v>
      </c>
    </row>
    <row r="271" spans="1:4">
      <c r="A271" s="1" t="s">
        <v>36</v>
      </c>
      <c r="B271" s="11">
        <v>201309</v>
      </c>
      <c r="C271" s="1" t="s">
        <v>308</v>
      </c>
      <c r="D271" s="13">
        <v>0</v>
      </c>
    </row>
    <row r="272" spans="1:4">
      <c r="A272" s="1" t="s">
        <v>36</v>
      </c>
      <c r="B272" s="11">
        <v>201310</v>
      </c>
      <c r="C272" s="1" t="s">
        <v>309</v>
      </c>
      <c r="D272" s="13">
        <v>432</v>
      </c>
    </row>
    <row r="273" spans="1:4">
      <c r="A273" s="1" t="s">
        <v>36</v>
      </c>
      <c r="B273" s="11">
        <v>201312</v>
      </c>
      <c r="C273" s="1" t="s">
        <v>310</v>
      </c>
      <c r="D273" s="13">
        <v>740</v>
      </c>
    </row>
    <row r="274" spans="1:4">
      <c r="A274" s="1" t="s">
        <v>36</v>
      </c>
      <c r="B274" s="11">
        <v>201313</v>
      </c>
      <c r="C274" s="1" t="s">
        <v>311</v>
      </c>
      <c r="D274" s="13">
        <v>143</v>
      </c>
    </row>
    <row r="275" spans="1:4">
      <c r="A275" s="1" t="s">
        <v>36</v>
      </c>
      <c r="B275" s="11">
        <v>201314</v>
      </c>
      <c r="C275" s="1" t="s">
        <v>312</v>
      </c>
      <c r="D275" s="13">
        <v>130</v>
      </c>
    </row>
    <row r="276" spans="1:4">
      <c r="A276" s="1" t="s">
        <v>29</v>
      </c>
      <c r="B276" s="11">
        <v>210303</v>
      </c>
      <c r="C276" s="1" t="s">
        <v>313</v>
      </c>
      <c r="D276" s="13">
        <v>1953</v>
      </c>
    </row>
    <row r="277" spans="1:4">
      <c r="A277" s="1" t="s">
        <v>29</v>
      </c>
      <c r="B277" s="11">
        <v>210305</v>
      </c>
      <c r="C277" s="1" t="s">
        <v>314</v>
      </c>
      <c r="D277" s="13">
        <v>2028</v>
      </c>
    </row>
    <row r="278" spans="1:4">
      <c r="A278" s="1" t="s">
        <v>29</v>
      </c>
      <c r="B278" s="11">
        <v>210306</v>
      </c>
      <c r="C278" s="1" t="s">
        <v>315</v>
      </c>
      <c r="D278" s="13">
        <v>1942</v>
      </c>
    </row>
    <row r="279" spans="1:4">
      <c r="A279" s="1" t="s">
        <v>29</v>
      </c>
      <c r="B279" s="11">
        <v>210309</v>
      </c>
      <c r="C279" s="1" t="s">
        <v>316</v>
      </c>
      <c r="D279" s="13">
        <v>1675</v>
      </c>
    </row>
    <row r="280" spans="1:4">
      <c r="A280" s="1" t="s">
        <v>29</v>
      </c>
      <c r="B280" s="11">
        <v>211301</v>
      </c>
      <c r="C280" s="1" t="s">
        <v>317</v>
      </c>
      <c r="D280" s="13">
        <v>1423</v>
      </c>
    </row>
    <row r="281" spans="1:4">
      <c r="A281" s="1" t="s">
        <v>29</v>
      </c>
      <c r="B281" s="11">
        <v>211302</v>
      </c>
      <c r="C281" s="1" t="s">
        <v>318</v>
      </c>
      <c r="D281" s="13">
        <v>568</v>
      </c>
    </row>
    <row r="282" spans="1:4">
      <c r="A282" s="1" t="s">
        <v>29</v>
      </c>
      <c r="B282" s="11">
        <v>211304</v>
      </c>
      <c r="C282" s="1" t="s">
        <v>319</v>
      </c>
      <c r="D282" s="13">
        <v>741</v>
      </c>
    </row>
    <row r="283" spans="1:4">
      <c r="A283" s="1" t="s">
        <v>29</v>
      </c>
      <c r="B283" s="11">
        <v>211310</v>
      </c>
      <c r="C283" s="1" t="s">
        <v>320</v>
      </c>
      <c r="D283" s="13">
        <v>1322</v>
      </c>
    </row>
    <row r="284" spans="1:4">
      <c r="A284" s="1" t="s">
        <v>29</v>
      </c>
      <c r="B284" s="11">
        <v>211314</v>
      </c>
      <c r="C284" s="1" t="s">
        <v>321</v>
      </c>
      <c r="D284" s="13">
        <v>442</v>
      </c>
    </row>
    <row r="285" spans="1:4">
      <c r="A285" s="1" t="s">
        <v>29</v>
      </c>
      <c r="B285" s="11">
        <v>211315</v>
      </c>
      <c r="C285" s="1" t="s">
        <v>322</v>
      </c>
      <c r="D285" s="13">
        <v>1078</v>
      </c>
    </row>
    <row r="286" spans="1:4">
      <c r="A286" s="1" t="s">
        <v>29</v>
      </c>
      <c r="B286" s="11">
        <v>211317</v>
      </c>
      <c r="C286" s="1" t="s">
        <v>323</v>
      </c>
      <c r="D286" s="13">
        <v>109</v>
      </c>
    </row>
    <row r="287" spans="1:4">
      <c r="A287" s="1" t="s">
        <v>29</v>
      </c>
      <c r="B287" s="11">
        <v>211318</v>
      </c>
      <c r="C287" s="1" t="s">
        <v>324</v>
      </c>
      <c r="D287" s="13">
        <v>1111</v>
      </c>
    </row>
    <row r="288" spans="1:4">
      <c r="A288" s="1" t="s">
        <v>29</v>
      </c>
      <c r="B288" s="11">
        <v>211320</v>
      </c>
      <c r="C288" s="1" t="s">
        <v>325</v>
      </c>
      <c r="D288" s="13">
        <v>572</v>
      </c>
    </row>
    <row r="289" spans="1:4">
      <c r="A289" s="1" t="s">
        <v>29</v>
      </c>
      <c r="B289" s="11">
        <v>213303</v>
      </c>
      <c r="C289" s="1" t="s">
        <v>326</v>
      </c>
      <c r="D289" s="13">
        <v>329</v>
      </c>
    </row>
    <row r="290" spans="1:4">
      <c r="A290" s="1" t="s">
        <v>29</v>
      </c>
      <c r="B290" s="11">
        <v>213316</v>
      </c>
      <c r="C290" s="1" t="s">
        <v>327</v>
      </c>
      <c r="D290" s="13">
        <v>241</v>
      </c>
    </row>
    <row r="291" spans="1:4">
      <c r="A291" s="1" t="s">
        <v>17</v>
      </c>
      <c r="B291" s="11">
        <v>313301</v>
      </c>
      <c r="C291" s="1" t="s">
        <v>328</v>
      </c>
      <c r="D291" s="13">
        <v>1053</v>
      </c>
    </row>
    <row r="292" spans="1:4">
      <c r="A292" s="1" t="s">
        <v>17</v>
      </c>
      <c r="B292" s="11">
        <v>313302</v>
      </c>
      <c r="C292" s="1" t="s">
        <v>329</v>
      </c>
      <c r="D292" s="13">
        <v>1069</v>
      </c>
    </row>
    <row r="293" spans="1:4">
      <c r="A293" s="1" t="s">
        <v>17</v>
      </c>
      <c r="B293" s="11">
        <v>321399</v>
      </c>
      <c r="C293" s="1" t="s">
        <v>330</v>
      </c>
      <c r="D293" s="13">
        <v>199</v>
      </c>
    </row>
    <row r="294" spans="1:4">
      <c r="A294" s="1" t="s">
        <v>17</v>
      </c>
      <c r="B294" s="11">
        <v>323301</v>
      </c>
      <c r="C294" s="1" t="s">
        <v>331</v>
      </c>
      <c r="D294" s="13">
        <v>2140</v>
      </c>
    </row>
    <row r="295" spans="1:4">
      <c r="A295" s="1" t="s">
        <v>17</v>
      </c>
      <c r="B295" s="11">
        <v>323302</v>
      </c>
      <c r="C295" s="1" t="s">
        <v>332</v>
      </c>
      <c r="D295" s="13">
        <v>1571</v>
      </c>
    </row>
    <row r="296" spans="1:4">
      <c r="A296" s="1" t="s">
        <v>17</v>
      </c>
      <c r="B296" s="11">
        <v>330301</v>
      </c>
      <c r="C296" s="1" t="s">
        <v>333</v>
      </c>
      <c r="D296" s="13">
        <v>2752</v>
      </c>
    </row>
    <row r="297" spans="1:4">
      <c r="A297" s="1" t="s">
        <v>17</v>
      </c>
      <c r="B297" s="11">
        <v>331301</v>
      </c>
      <c r="C297" s="1" t="s">
        <v>334</v>
      </c>
      <c r="D297" s="13">
        <v>1116</v>
      </c>
    </row>
    <row r="298" spans="1:4">
      <c r="A298" s="1" t="s">
        <v>17</v>
      </c>
      <c r="B298" s="11">
        <v>331302</v>
      </c>
      <c r="C298" s="1" t="s">
        <v>335</v>
      </c>
      <c r="D298" s="13">
        <v>968</v>
      </c>
    </row>
    <row r="299" spans="1:4">
      <c r="A299" s="1" t="s">
        <v>17</v>
      </c>
      <c r="B299" s="11">
        <v>331304</v>
      </c>
      <c r="C299" s="1" t="s">
        <v>336</v>
      </c>
      <c r="D299" s="13">
        <v>511</v>
      </c>
    </row>
    <row r="300" spans="1:4">
      <c r="A300" s="1" t="s">
        <v>17</v>
      </c>
      <c r="B300" s="11">
        <v>333301</v>
      </c>
      <c r="C300" s="1" t="s">
        <v>337</v>
      </c>
      <c r="D300" s="13">
        <v>1317</v>
      </c>
    </row>
    <row r="301" spans="1:4">
      <c r="A301" s="1" t="s">
        <v>17</v>
      </c>
      <c r="B301" s="11">
        <v>333304</v>
      </c>
      <c r="C301" s="1" t="s">
        <v>338</v>
      </c>
      <c r="D301" s="13">
        <v>83</v>
      </c>
    </row>
    <row r="302" spans="1:4">
      <c r="A302" s="1" t="s">
        <v>17</v>
      </c>
      <c r="B302" s="11">
        <v>341302</v>
      </c>
      <c r="C302" s="1" t="s">
        <v>339</v>
      </c>
      <c r="D302" s="13">
        <v>751</v>
      </c>
    </row>
    <row r="303" spans="1:4">
      <c r="A303" s="1" t="s">
        <v>17</v>
      </c>
      <c r="B303" s="11">
        <v>343301</v>
      </c>
      <c r="C303" s="1" t="s">
        <v>340</v>
      </c>
      <c r="D303" s="13">
        <v>2237</v>
      </c>
    </row>
    <row r="304" spans="1:4">
      <c r="A304" s="1" t="s">
        <v>17</v>
      </c>
      <c r="B304" s="11">
        <v>343302</v>
      </c>
      <c r="C304" s="1" t="s">
        <v>341</v>
      </c>
      <c r="D304" s="13">
        <v>1688</v>
      </c>
    </row>
    <row r="305" spans="1:4">
      <c r="A305" s="1" t="s">
        <v>17</v>
      </c>
      <c r="B305" s="11">
        <v>343303</v>
      </c>
      <c r="C305" s="1" t="s">
        <v>342</v>
      </c>
      <c r="D305" s="13">
        <v>1060</v>
      </c>
    </row>
    <row r="306" spans="1:4">
      <c r="A306" s="1" t="s">
        <v>17</v>
      </c>
      <c r="B306" s="11">
        <v>351301</v>
      </c>
      <c r="C306" s="1" t="s">
        <v>343</v>
      </c>
      <c r="D306" s="13">
        <v>498</v>
      </c>
    </row>
    <row r="307" spans="1:4">
      <c r="A307" s="1" t="s">
        <v>17</v>
      </c>
      <c r="B307" s="11">
        <v>353301</v>
      </c>
      <c r="C307" s="1" t="s">
        <v>344</v>
      </c>
      <c r="D307" s="13">
        <v>2860</v>
      </c>
    </row>
    <row r="308" spans="1:4">
      <c r="A308" s="1" t="s">
        <v>17</v>
      </c>
      <c r="B308" s="11">
        <v>353302</v>
      </c>
      <c r="C308" s="1" t="s">
        <v>345</v>
      </c>
      <c r="D308" s="13">
        <v>2349</v>
      </c>
    </row>
    <row r="309" spans="1:4">
      <c r="A309" s="1" t="s">
        <v>17</v>
      </c>
      <c r="B309" s="11">
        <v>353303</v>
      </c>
      <c r="C309" s="1" t="s">
        <v>346</v>
      </c>
      <c r="D309" s="13">
        <v>2424</v>
      </c>
    </row>
    <row r="310" spans="1:4">
      <c r="A310" s="1" t="s">
        <v>17</v>
      </c>
      <c r="B310" s="11">
        <v>361301</v>
      </c>
      <c r="C310" s="1" t="s">
        <v>347</v>
      </c>
      <c r="D310" s="13">
        <v>905</v>
      </c>
    </row>
    <row r="311" spans="1:4">
      <c r="A311" s="1" t="s">
        <v>17</v>
      </c>
      <c r="B311" s="11">
        <v>363301</v>
      </c>
      <c r="C311" s="1" t="s">
        <v>348</v>
      </c>
      <c r="D311" s="13">
        <v>1598</v>
      </c>
    </row>
    <row r="312" spans="1:4">
      <c r="A312" s="1" t="s">
        <v>17</v>
      </c>
      <c r="B312" s="11">
        <v>363302</v>
      </c>
      <c r="C312" s="1" t="s">
        <v>349</v>
      </c>
      <c r="D312" s="13">
        <v>1219</v>
      </c>
    </row>
    <row r="313" spans="1:4">
      <c r="A313" s="1" t="s">
        <v>17</v>
      </c>
      <c r="B313" s="11">
        <v>373301</v>
      </c>
      <c r="C313" s="1" t="s">
        <v>350</v>
      </c>
      <c r="D313" s="13">
        <v>1683</v>
      </c>
    </row>
    <row r="314" spans="1:4">
      <c r="A314" s="1" t="s">
        <v>17</v>
      </c>
      <c r="B314" s="11">
        <v>373302</v>
      </c>
      <c r="C314" s="1" t="s">
        <v>351</v>
      </c>
      <c r="D314" s="13">
        <v>925</v>
      </c>
    </row>
    <row r="315" spans="1:4">
      <c r="A315" s="1" t="s">
        <v>17</v>
      </c>
      <c r="B315" s="11">
        <v>380301</v>
      </c>
      <c r="C315" s="1" t="s">
        <v>352</v>
      </c>
      <c r="D315" s="13">
        <v>622</v>
      </c>
    </row>
    <row r="316" spans="1:4">
      <c r="A316" s="1" t="s">
        <v>17</v>
      </c>
      <c r="B316" s="11">
        <v>381301</v>
      </c>
      <c r="C316" s="1" t="s">
        <v>353</v>
      </c>
      <c r="D316" s="13">
        <v>1494</v>
      </c>
    </row>
    <row r="317" spans="1:4">
      <c r="A317" s="1" t="s">
        <v>17</v>
      </c>
      <c r="B317" s="11">
        <v>381302</v>
      </c>
      <c r="C317" s="1" t="s">
        <v>354</v>
      </c>
      <c r="D317" s="13">
        <v>363</v>
      </c>
    </row>
    <row r="318" spans="1:4">
      <c r="A318" s="1" t="s">
        <v>17</v>
      </c>
      <c r="B318" s="11">
        <v>381303</v>
      </c>
      <c r="C318" s="1" t="s">
        <v>355</v>
      </c>
      <c r="D318" s="13">
        <v>307</v>
      </c>
    </row>
    <row r="319" spans="1:4">
      <c r="A319" s="1" t="s">
        <v>17</v>
      </c>
      <c r="B319" s="11">
        <v>381304</v>
      </c>
      <c r="C319" s="1" t="s">
        <v>356</v>
      </c>
      <c r="D319" s="13">
        <v>794</v>
      </c>
    </row>
    <row r="320" spans="1:4">
      <c r="A320" s="1" t="s">
        <v>17</v>
      </c>
      <c r="B320" s="11">
        <v>381305</v>
      </c>
      <c r="C320" s="1" t="s">
        <v>357</v>
      </c>
      <c r="D320" s="13">
        <v>862</v>
      </c>
    </row>
    <row r="321" spans="1:4">
      <c r="A321" s="1" t="s">
        <v>17</v>
      </c>
      <c r="B321" s="11">
        <v>381306</v>
      </c>
      <c r="C321" s="1" t="s">
        <v>358</v>
      </c>
      <c r="D321" s="13">
        <v>231</v>
      </c>
    </row>
    <row r="322" spans="1:4">
      <c r="A322" s="1" t="s">
        <v>17</v>
      </c>
      <c r="B322" s="11">
        <v>383301</v>
      </c>
      <c r="C322" s="1" t="s">
        <v>359</v>
      </c>
      <c r="D322" s="13">
        <v>1893</v>
      </c>
    </row>
    <row r="323" spans="1:4">
      <c r="A323" s="1" t="s">
        <v>17</v>
      </c>
      <c r="B323" s="11">
        <v>383302</v>
      </c>
      <c r="C323" s="1" t="s">
        <v>360</v>
      </c>
      <c r="D323" s="13">
        <v>1155</v>
      </c>
    </row>
    <row r="324" spans="1:4">
      <c r="A324" s="1" t="s">
        <v>17</v>
      </c>
      <c r="B324" s="11">
        <v>383303</v>
      </c>
      <c r="C324" s="1" t="s">
        <v>361</v>
      </c>
      <c r="D324" s="13">
        <v>41</v>
      </c>
    </row>
    <row r="325" spans="1:4">
      <c r="A325" s="1" t="s">
        <v>17</v>
      </c>
      <c r="B325" s="11">
        <v>393301</v>
      </c>
      <c r="C325" s="1" t="s">
        <v>362</v>
      </c>
      <c r="D325" s="13">
        <v>1013</v>
      </c>
    </row>
    <row r="326" spans="1:4">
      <c r="A326" s="1" t="s">
        <v>17</v>
      </c>
      <c r="B326" s="11">
        <v>393302</v>
      </c>
      <c r="C326" s="1" t="s">
        <v>363</v>
      </c>
      <c r="D326" s="13">
        <v>1791</v>
      </c>
    </row>
    <row r="327" spans="1:4">
      <c r="A327" s="1" t="s">
        <v>17</v>
      </c>
      <c r="B327" s="11">
        <v>401301</v>
      </c>
      <c r="C327" s="1" t="s">
        <v>364</v>
      </c>
      <c r="D327" s="13">
        <v>69</v>
      </c>
    </row>
    <row r="328" spans="1:4">
      <c r="A328" s="1" t="s">
        <v>17</v>
      </c>
      <c r="B328" s="11">
        <v>401302</v>
      </c>
      <c r="C328" s="1" t="s">
        <v>365</v>
      </c>
      <c r="D328" s="13">
        <v>154</v>
      </c>
    </row>
    <row r="329" spans="1:4">
      <c r="A329" s="1" t="s">
        <v>17</v>
      </c>
      <c r="B329" s="11">
        <v>401303</v>
      </c>
      <c r="C329" s="1" t="s">
        <v>366</v>
      </c>
      <c r="D329" s="13">
        <v>379</v>
      </c>
    </row>
    <row r="330" spans="1:4">
      <c r="A330" s="1" t="s">
        <v>17</v>
      </c>
      <c r="B330" s="11">
        <v>403301</v>
      </c>
      <c r="C330" s="1" t="s">
        <v>367</v>
      </c>
      <c r="D330" s="13">
        <v>2031</v>
      </c>
    </row>
    <row r="331" spans="1:4">
      <c r="A331" s="1" t="s">
        <v>17</v>
      </c>
      <c r="B331" s="11">
        <v>403302</v>
      </c>
      <c r="C331" s="1" t="s">
        <v>368</v>
      </c>
      <c r="D331" s="13">
        <v>930</v>
      </c>
    </row>
    <row r="332" spans="1:4">
      <c r="A332" s="1" t="s">
        <v>17</v>
      </c>
      <c r="B332" s="11">
        <v>403303</v>
      </c>
      <c r="C332" s="1" t="s">
        <v>369</v>
      </c>
      <c r="D332" s="13">
        <v>1515</v>
      </c>
    </row>
    <row r="333" spans="1:4">
      <c r="A333" s="1" t="s">
        <v>17</v>
      </c>
      <c r="B333" s="11">
        <v>411301</v>
      </c>
      <c r="C333" s="1" t="s">
        <v>370</v>
      </c>
      <c r="D333" s="13">
        <v>692</v>
      </c>
    </row>
    <row r="334" spans="1:4">
      <c r="A334" s="1" t="s">
        <v>17</v>
      </c>
      <c r="B334" s="11">
        <v>411302</v>
      </c>
      <c r="C334" s="1" t="s">
        <v>371</v>
      </c>
      <c r="D334" s="13">
        <v>468</v>
      </c>
    </row>
    <row r="335" spans="1:4">
      <c r="A335" s="1" t="s">
        <v>17</v>
      </c>
      <c r="B335" s="11">
        <v>411303</v>
      </c>
      <c r="C335" s="1" t="s">
        <v>372</v>
      </c>
      <c r="D335" s="13">
        <v>265</v>
      </c>
    </row>
    <row r="336" spans="1:4">
      <c r="A336" s="1" t="s">
        <v>17</v>
      </c>
      <c r="B336" s="11">
        <v>413301</v>
      </c>
      <c r="C336" s="1" t="s">
        <v>114</v>
      </c>
      <c r="D336" s="13">
        <v>1380</v>
      </c>
    </row>
    <row r="337" spans="1:4">
      <c r="A337" s="1" t="s">
        <v>17</v>
      </c>
      <c r="B337" s="11">
        <v>413302</v>
      </c>
      <c r="C337" s="1" t="s">
        <v>373</v>
      </c>
      <c r="D337" s="13">
        <v>930</v>
      </c>
    </row>
    <row r="338" spans="1:4">
      <c r="A338" s="1" t="s">
        <v>17</v>
      </c>
      <c r="B338" s="11">
        <v>421301</v>
      </c>
      <c r="C338" s="1" t="s">
        <v>374</v>
      </c>
      <c r="D338" s="13">
        <v>1167</v>
      </c>
    </row>
    <row r="339" spans="1:4">
      <c r="A339" s="1" t="s">
        <v>17</v>
      </c>
      <c r="B339" s="11">
        <v>421302</v>
      </c>
      <c r="C339" s="1" t="s">
        <v>375</v>
      </c>
      <c r="D339" s="13">
        <v>389</v>
      </c>
    </row>
    <row r="340" spans="1:4">
      <c r="A340" s="1" t="s">
        <v>17</v>
      </c>
      <c r="B340" s="11">
        <v>421303</v>
      </c>
      <c r="C340" s="1" t="s">
        <v>376</v>
      </c>
      <c r="D340" s="13">
        <v>128</v>
      </c>
    </row>
    <row r="341" spans="1:4">
      <c r="A341" s="1" t="s">
        <v>17</v>
      </c>
      <c r="B341" s="11">
        <v>423301</v>
      </c>
      <c r="C341" s="1" t="s">
        <v>377</v>
      </c>
      <c r="D341" s="13">
        <v>1949</v>
      </c>
    </row>
    <row r="342" spans="1:4">
      <c r="A342" s="1" t="s">
        <v>17</v>
      </c>
      <c r="B342" s="11">
        <v>423302</v>
      </c>
      <c r="C342" s="1" t="s">
        <v>378</v>
      </c>
      <c r="D342" s="13">
        <v>2195</v>
      </c>
    </row>
    <row r="343" spans="1:4">
      <c r="A343" s="1" t="s">
        <v>30</v>
      </c>
      <c r="B343" s="11">
        <v>521301</v>
      </c>
      <c r="C343" s="1" t="s">
        <v>379</v>
      </c>
      <c r="D343" s="13">
        <v>417</v>
      </c>
    </row>
    <row r="344" spans="1:4">
      <c r="A344" s="1" t="s">
        <v>30</v>
      </c>
      <c r="B344" s="11">
        <v>521303</v>
      </c>
      <c r="C344" s="1" t="s">
        <v>380</v>
      </c>
      <c r="D344" s="13">
        <v>536</v>
      </c>
    </row>
    <row r="345" spans="1:4">
      <c r="A345" s="1" t="s">
        <v>30</v>
      </c>
      <c r="B345" s="11">
        <v>523301</v>
      </c>
      <c r="C345" s="1" t="s">
        <v>381</v>
      </c>
      <c r="D345" s="13">
        <v>678</v>
      </c>
    </row>
    <row r="346" spans="1:4">
      <c r="A346" s="1" t="s">
        <v>30</v>
      </c>
      <c r="B346" s="11">
        <v>533301</v>
      </c>
      <c r="C346" s="1" t="s">
        <v>382</v>
      </c>
      <c r="D346" s="13">
        <v>1540</v>
      </c>
    </row>
    <row r="347" spans="1:4">
      <c r="A347" s="1" t="s">
        <v>30</v>
      </c>
      <c r="B347" s="11">
        <v>533302</v>
      </c>
      <c r="C347" s="1" t="s">
        <v>68</v>
      </c>
      <c r="D347" s="13">
        <v>1492</v>
      </c>
    </row>
    <row r="348" spans="1:4">
      <c r="A348" s="1" t="s">
        <v>30</v>
      </c>
      <c r="B348" s="11">
        <v>540301</v>
      </c>
      <c r="C348" s="1" t="s">
        <v>383</v>
      </c>
      <c r="D348" s="13">
        <v>626</v>
      </c>
    </row>
    <row r="349" spans="1:4">
      <c r="A349" s="1" t="s">
        <v>30</v>
      </c>
      <c r="B349" s="11">
        <v>543301</v>
      </c>
      <c r="C349" s="1" t="s">
        <v>274</v>
      </c>
      <c r="D349" s="13">
        <v>1403</v>
      </c>
    </row>
    <row r="350" spans="1:4">
      <c r="A350" s="1" t="s">
        <v>30</v>
      </c>
      <c r="B350" s="11">
        <v>543302</v>
      </c>
      <c r="C350" s="1" t="s">
        <v>384</v>
      </c>
      <c r="D350" s="13">
        <v>816</v>
      </c>
    </row>
    <row r="351" spans="1:4">
      <c r="A351" s="1" t="s">
        <v>30</v>
      </c>
      <c r="B351" s="11">
        <v>551301</v>
      </c>
      <c r="C351" s="1" t="s">
        <v>385</v>
      </c>
      <c r="D351" s="13">
        <v>1626</v>
      </c>
    </row>
    <row r="352" spans="1:4">
      <c r="A352" s="1" t="s">
        <v>30</v>
      </c>
      <c r="B352" s="11">
        <v>551303</v>
      </c>
      <c r="C352" s="1" t="s">
        <v>386</v>
      </c>
      <c r="D352" s="13">
        <v>18</v>
      </c>
    </row>
    <row r="353" spans="1:4">
      <c r="A353" s="1" t="s">
        <v>30</v>
      </c>
      <c r="B353" s="11">
        <v>553301</v>
      </c>
      <c r="C353" s="1" t="s">
        <v>387</v>
      </c>
      <c r="D353" s="13">
        <v>2569</v>
      </c>
    </row>
    <row r="354" spans="1:4">
      <c r="A354" s="1" t="s">
        <v>30</v>
      </c>
      <c r="B354" s="11">
        <v>553302</v>
      </c>
      <c r="C354" s="1" t="s">
        <v>83</v>
      </c>
      <c r="D354" s="13">
        <v>1200</v>
      </c>
    </row>
    <row r="355" spans="1:4">
      <c r="A355" s="1" t="s">
        <v>30</v>
      </c>
      <c r="B355" s="11">
        <v>563301</v>
      </c>
      <c r="C355" s="1" t="s">
        <v>388</v>
      </c>
      <c r="D355" s="13">
        <v>674</v>
      </c>
    </row>
    <row r="356" spans="1:4">
      <c r="A356" s="1" t="s">
        <v>30</v>
      </c>
      <c r="B356" s="11">
        <v>573301</v>
      </c>
      <c r="C356" s="1" t="s">
        <v>389</v>
      </c>
      <c r="D356" s="13">
        <v>2252</v>
      </c>
    </row>
    <row r="357" spans="1:4">
      <c r="A357" s="1" t="s">
        <v>30</v>
      </c>
      <c r="B357" s="11">
        <v>580301</v>
      </c>
      <c r="C357" s="1" t="s">
        <v>390</v>
      </c>
      <c r="D357" s="13">
        <v>864</v>
      </c>
    </row>
    <row r="358" spans="1:4">
      <c r="A358" s="1" t="s">
        <v>30</v>
      </c>
      <c r="B358" s="11">
        <v>581301</v>
      </c>
      <c r="C358" s="1" t="s">
        <v>391</v>
      </c>
      <c r="D358" s="13">
        <v>871</v>
      </c>
    </row>
    <row r="359" spans="1:4">
      <c r="A359" s="1" t="s">
        <v>30</v>
      </c>
      <c r="B359" s="11">
        <v>581302</v>
      </c>
      <c r="C359" s="1" t="s">
        <v>392</v>
      </c>
      <c r="D359" s="13">
        <v>1913</v>
      </c>
    </row>
    <row r="360" spans="1:4">
      <c r="A360" s="1" t="s">
        <v>30</v>
      </c>
      <c r="B360" s="11">
        <v>583301</v>
      </c>
      <c r="C360" s="1" t="s">
        <v>378</v>
      </c>
      <c r="D360" s="13">
        <v>1092</v>
      </c>
    </row>
    <row r="361" spans="1:4">
      <c r="A361" s="1" t="s">
        <v>30</v>
      </c>
      <c r="B361" s="11">
        <v>593301</v>
      </c>
      <c r="C361" s="1" t="s">
        <v>393</v>
      </c>
      <c r="D361" s="13">
        <v>1494</v>
      </c>
    </row>
    <row r="362" spans="1:4">
      <c r="A362" s="1" t="s">
        <v>30</v>
      </c>
      <c r="B362" s="11">
        <v>593302</v>
      </c>
      <c r="C362" s="1" t="s">
        <v>394</v>
      </c>
      <c r="D362" s="13">
        <v>864</v>
      </c>
    </row>
    <row r="363" spans="1:4">
      <c r="A363" s="1" t="s">
        <v>30</v>
      </c>
      <c r="B363" s="11">
        <v>613301</v>
      </c>
      <c r="C363" s="1" t="s">
        <v>395</v>
      </c>
      <c r="D363" s="13">
        <v>1374</v>
      </c>
    </row>
    <row r="364" spans="1:4">
      <c r="A364" s="1" t="s">
        <v>37</v>
      </c>
      <c r="B364" s="11">
        <v>710301</v>
      </c>
      <c r="C364" s="1" t="s">
        <v>396</v>
      </c>
      <c r="D364" s="13">
        <v>939</v>
      </c>
    </row>
    <row r="365" spans="1:4">
      <c r="A365" s="1" t="s">
        <v>38</v>
      </c>
      <c r="B365" s="11">
        <v>720301</v>
      </c>
      <c r="C365" s="1" t="s">
        <v>397</v>
      </c>
      <c r="D365" s="13">
        <v>265</v>
      </c>
    </row>
    <row r="366" spans="1:4">
      <c r="A366" s="1" t="s">
        <v>19</v>
      </c>
      <c r="B366" s="14">
        <v>11405</v>
      </c>
      <c r="C366" s="1" t="s">
        <v>398</v>
      </c>
      <c r="D366" s="13">
        <v>2521</v>
      </c>
    </row>
    <row r="367" spans="1:4">
      <c r="A367" s="1" t="s">
        <v>19</v>
      </c>
      <c r="B367" s="14">
        <v>11407</v>
      </c>
      <c r="C367" s="1" t="s">
        <v>399</v>
      </c>
      <c r="D367" s="13">
        <v>3037</v>
      </c>
    </row>
    <row r="368" spans="1:4">
      <c r="A368" s="1" t="s">
        <v>19</v>
      </c>
      <c r="B368" s="14">
        <v>11408</v>
      </c>
      <c r="C368" s="1" t="s">
        <v>400</v>
      </c>
      <c r="D368" s="13">
        <v>843</v>
      </c>
    </row>
    <row r="369" spans="1:4">
      <c r="A369" s="1" t="s">
        <v>19</v>
      </c>
      <c r="B369" s="14">
        <v>11413</v>
      </c>
      <c r="C369" s="1" t="s">
        <v>401</v>
      </c>
      <c r="D369" s="13">
        <v>1568</v>
      </c>
    </row>
    <row r="370" spans="1:4">
      <c r="A370" s="1" t="s">
        <v>19</v>
      </c>
      <c r="B370" s="14">
        <v>11419</v>
      </c>
      <c r="C370" s="1" t="s">
        <v>402</v>
      </c>
      <c r="D370" s="13">
        <v>0</v>
      </c>
    </row>
    <row r="371" spans="1:4">
      <c r="A371" s="1" t="s">
        <v>19</v>
      </c>
      <c r="B371" s="14">
        <v>11420</v>
      </c>
      <c r="C371" s="1" t="s">
        <v>403</v>
      </c>
      <c r="D371" s="13">
        <v>1100</v>
      </c>
    </row>
    <row r="372" spans="1:4">
      <c r="A372" s="1" t="s">
        <v>19</v>
      </c>
      <c r="B372" s="14">
        <v>11421</v>
      </c>
      <c r="C372" s="1" t="s">
        <v>404</v>
      </c>
      <c r="D372" s="13">
        <v>211</v>
      </c>
    </row>
    <row r="373" spans="1:4">
      <c r="A373" s="1" t="s">
        <v>19</v>
      </c>
      <c r="B373" s="14">
        <v>11426</v>
      </c>
      <c r="C373" s="1" t="s">
        <v>405</v>
      </c>
      <c r="D373" s="13">
        <v>1342</v>
      </c>
    </row>
    <row r="374" spans="1:4">
      <c r="A374" s="1" t="s">
        <v>19</v>
      </c>
      <c r="B374" s="14">
        <v>11427</v>
      </c>
      <c r="C374" s="1" t="s">
        <v>406</v>
      </c>
      <c r="D374" s="13">
        <v>617</v>
      </c>
    </row>
    <row r="375" spans="1:4">
      <c r="A375" s="1" t="s">
        <v>19</v>
      </c>
      <c r="B375" s="14">
        <v>11431</v>
      </c>
      <c r="C375" s="1" t="s">
        <v>407</v>
      </c>
      <c r="D375" s="13">
        <v>5530</v>
      </c>
    </row>
    <row r="376" spans="1:4">
      <c r="A376" s="1" t="s">
        <v>19</v>
      </c>
      <c r="B376" s="14">
        <v>11432</v>
      </c>
      <c r="C376" s="1" t="s">
        <v>408</v>
      </c>
      <c r="D376" s="13">
        <v>101</v>
      </c>
    </row>
    <row r="377" spans="1:4">
      <c r="A377" s="1" t="s">
        <v>19</v>
      </c>
      <c r="B377" s="14">
        <v>13402</v>
      </c>
      <c r="C377" s="1" t="s">
        <v>409</v>
      </c>
      <c r="D377" s="13">
        <v>938</v>
      </c>
    </row>
    <row r="378" spans="1:4">
      <c r="A378" s="1" t="s">
        <v>19</v>
      </c>
      <c r="B378" s="14">
        <v>13430</v>
      </c>
      <c r="C378" s="1" t="s">
        <v>410</v>
      </c>
      <c r="D378" s="13">
        <v>2223</v>
      </c>
    </row>
    <row r="379" spans="1:4">
      <c r="A379" s="1" t="s">
        <v>19</v>
      </c>
      <c r="B379" s="14">
        <v>13433</v>
      </c>
      <c r="C379" s="1" t="s">
        <v>411</v>
      </c>
      <c r="D379" s="13">
        <v>2568</v>
      </c>
    </row>
    <row r="380" spans="1:4">
      <c r="A380" s="1" t="s">
        <v>19</v>
      </c>
      <c r="B380" s="14">
        <v>13434</v>
      </c>
      <c r="C380" s="1" t="s">
        <v>412</v>
      </c>
      <c r="D380" s="13">
        <v>2283</v>
      </c>
    </row>
    <row r="381" spans="1:4">
      <c r="A381" s="1" t="s">
        <v>19</v>
      </c>
      <c r="B381" s="14">
        <v>14439</v>
      </c>
      <c r="C381" s="1" t="s">
        <v>413</v>
      </c>
      <c r="D381" s="13">
        <v>1860</v>
      </c>
    </row>
    <row r="382" spans="1:4">
      <c r="A382" s="1" t="s">
        <v>19</v>
      </c>
      <c r="B382" s="14">
        <v>14468</v>
      </c>
      <c r="C382" s="1" t="s">
        <v>414</v>
      </c>
      <c r="D382" s="13">
        <v>447</v>
      </c>
    </row>
    <row r="383" spans="1:4">
      <c r="A383" s="1" t="s">
        <v>20</v>
      </c>
      <c r="B383" s="14">
        <v>20403</v>
      </c>
      <c r="C383" s="1" t="s">
        <v>415</v>
      </c>
      <c r="D383" s="13">
        <v>1493</v>
      </c>
    </row>
    <row r="384" spans="1:4">
      <c r="A384" s="1" t="s">
        <v>20</v>
      </c>
      <c r="B384" s="14">
        <v>20404</v>
      </c>
      <c r="C384" s="1" t="s">
        <v>416</v>
      </c>
      <c r="D384" s="13">
        <v>1333</v>
      </c>
    </row>
    <row r="385" spans="1:4">
      <c r="A385" s="1" t="s">
        <v>20</v>
      </c>
      <c r="B385" s="14">
        <v>20405</v>
      </c>
      <c r="C385" s="1" t="s">
        <v>417</v>
      </c>
      <c r="D385" s="13">
        <v>415</v>
      </c>
    </row>
    <row r="386" spans="1:4">
      <c r="A386" s="1" t="s">
        <v>20</v>
      </c>
      <c r="B386" s="14">
        <v>20407</v>
      </c>
      <c r="C386" s="1" t="s">
        <v>418</v>
      </c>
      <c r="D386" s="13">
        <v>1372</v>
      </c>
    </row>
    <row r="387" spans="1:4">
      <c r="A387" s="1" t="s">
        <v>20</v>
      </c>
      <c r="B387" s="14">
        <v>20409</v>
      </c>
      <c r="C387" s="1" t="s">
        <v>419</v>
      </c>
      <c r="D387" s="13">
        <v>836</v>
      </c>
    </row>
    <row r="388" spans="1:4">
      <c r="A388" s="1" t="s">
        <v>21</v>
      </c>
      <c r="B388" s="14">
        <v>30403</v>
      </c>
      <c r="C388" s="1" t="s">
        <v>420</v>
      </c>
      <c r="D388" s="13">
        <v>2445</v>
      </c>
    </row>
    <row r="389" spans="1:4">
      <c r="A389" s="1" t="s">
        <v>21</v>
      </c>
      <c r="B389" s="14">
        <v>31414</v>
      </c>
      <c r="C389" s="1" t="s">
        <v>421</v>
      </c>
      <c r="D389" s="13">
        <v>954</v>
      </c>
    </row>
    <row r="390" spans="1:4">
      <c r="A390" s="1" t="s">
        <v>21</v>
      </c>
      <c r="B390" s="14">
        <v>31415</v>
      </c>
      <c r="C390" s="1" t="s">
        <v>422</v>
      </c>
      <c r="D390" s="13">
        <v>227</v>
      </c>
    </row>
    <row r="391" spans="1:4">
      <c r="A391" s="1" t="s">
        <v>21</v>
      </c>
      <c r="B391" s="14">
        <v>31421</v>
      </c>
      <c r="C391" s="1" t="s">
        <v>423</v>
      </c>
      <c r="D391" s="13">
        <v>3892</v>
      </c>
    </row>
    <row r="392" spans="1:4">
      <c r="A392" s="1" t="s">
        <v>21</v>
      </c>
      <c r="B392" s="14">
        <v>33407</v>
      </c>
      <c r="C392" s="1" t="s">
        <v>424</v>
      </c>
      <c r="D392" s="13">
        <v>1854</v>
      </c>
    </row>
    <row r="393" spans="1:4">
      <c r="A393" s="1" t="s">
        <v>21</v>
      </c>
      <c r="B393" s="14">
        <v>33408</v>
      </c>
      <c r="C393" s="1" t="s">
        <v>425</v>
      </c>
      <c r="D393" s="13">
        <v>939</v>
      </c>
    </row>
    <row r="394" spans="1:4">
      <c r="A394" s="1" t="s">
        <v>22</v>
      </c>
      <c r="B394" s="14">
        <v>41401</v>
      </c>
      <c r="C394" s="1" t="s">
        <v>426</v>
      </c>
      <c r="D394" s="13">
        <v>1074</v>
      </c>
    </row>
    <row r="395" spans="1:4">
      <c r="A395" s="1" t="s">
        <v>23</v>
      </c>
      <c r="B395" s="14">
        <v>50401</v>
      </c>
      <c r="C395" s="1" t="s">
        <v>427</v>
      </c>
      <c r="D395" s="13">
        <v>598</v>
      </c>
    </row>
    <row r="396" spans="1:4">
      <c r="A396" s="1" t="s">
        <v>23</v>
      </c>
      <c r="B396" s="14">
        <v>50404</v>
      </c>
      <c r="C396" s="1" t="s">
        <v>428</v>
      </c>
      <c r="D396" s="13">
        <v>1803</v>
      </c>
    </row>
    <row r="397" spans="1:4">
      <c r="A397" s="1" t="s">
        <v>23</v>
      </c>
      <c r="B397" s="14">
        <v>50407</v>
      </c>
      <c r="C397" s="1" t="s">
        <v>429</v>
      </c>
      <c r="D397" s="13">
        <v>985</v>
      </c>
    </row>
    <row r="398" spans="1:4">
      <c r="A398" s="1" t="s">
        <v>23</v>
      </c>
      <c r="B398" s="14">
        <v>51408</v>
      </c>
      <c r="C398" s="1" t="s">
        <v>430</v>
      </c>
      <c r="D398" s="13">
        <v>725</v>
      </c>
    </row>
    <row r="399" spans="1:4">
      <c r="A399" s="1" t="s">
        <v>23</v>
      </c>
      <c r="B399" s="14">
        <v>51411</v>
      </c>
      <c r="C399" s="1" t="s">
        <v>431</v>
      </c>
      <c r="D399" s="13">
        <v>89</v>
      </c>
    </row>
    <row r="400" spans="1:4">
      <c r="A400" s="1" t="s">
        <v>23</v>
      </c>
      <c r="B400" s="14">
        <v>51412</v>
      </c>
      <c r="C400" s="1" t="s">
        <v>432</v>
      </c>
      <c r="D400" s="13">
        <v>81</v>
      </c>
    </row>
    <row r="401" spans="1:4">
      <c r="A401" s="1" t="s">
        <v>23</v>
      </c>
      <c r="B401" s="14">
        <v>51413</v>
      </c>
      <c r="C401" s="1" t="s">
        <v>433</v>
      </c>
      <c r="D401" s="13">
        <v>34</v>
      </c>
    </row>
    <row r="402" spans="1:4">
      <c r="A402" s="1" t="s">
        <v>24</v>
      </c>
      <c r="B402" s="14">
        <v>63401</v>
      </c>
      <c r="C402" s="1" t="s">
        <v>434</v>
      </c>
      <c r="D402" s="13">
        <v>1576</v>
      </c>
    </row>
    <row r="403" spans="1:4">
      <c r="A403" s="1" t="s">
        <v>24</v>
      </c>
      <c r="B403" s="14">
        <v>63402</v>
      </c>
      <c r="C403" s="1" t="s">
        <v>435</v>
      </c>
      <c r="D403" s="13">
        <v>1354</v>
      </c>
    </row>
    <row r="404" spans="1:4">
      <c r="A404" s="1" t="s">
        <v>24</v>
      </c>
      <c r="B404" s="14">
        <v>63404</v>
      </c>
      <c r="C404" s="1" t="s">
        <v>436</v>
      </c>
      <c r="D404" s="13">
        <v>1531</v>
      </c>
    </row>
    <row r="405" spans="1:4">
      <c r="A405" s="1" t="s">
        <v>24</v>
      </c>
      <c r="B405" s="14">
        <v>63407</v>
      </c>
      <c r="C405" s="1" t="s">
        <v>437</v>
      </c>
      <c r="D405" s="13">
        <v>1789</v>
      </c>
    </row>
    <row r="406" spans="1:4">
      <c r="A406" s="1" t="s">
        <v>24</v>
      </c>
      <c r="B406" s="14">
        <v>63408</v>
      </c>
      <c r="C406" s="1" t="s">
        <v>438</v>
      </c>
      <c r="D406" s="13">
        <v>1323</v>
      </c>
    </row>
    <row r="407" spans="1:4">
      <c r="A407" s="1" t="s">
        <v>24</v>
      </c>
      <c r="B407" s="14">
        <v>64406</v>
      </c>
      <c r="C407" s="1" t="s">
        <v>439</v>
      </c>
      <c r="D407" s="13">
        <v>287</v>
      </c>
    </row>
    <row r="408" spans="1:4">
      <c r="A408" s="1" t="s">
        <v>25</v>
      </c>
      <c r="B408" s="14">
        <v>70401</v>
      </c>
      <c r="C408" s="1" t="s">
        <v>440</v>
      </c>
      <c r="D408" s="13">
        <v>2037</v>
      </c>
    </row>
    <row r="409" spans="1:4">
      <c r="A409" s="1" t="s">
        <v>25</v>
      </c>
      <c r="B409" s="14">
        <v>70402</v>
      </c>
      <c r="C409" s="1" t="s">
        <v>441</v>
      </c>
      <c r="D409" s="13">
        <v>1148</v>
      </c>
    </row>
    <row r="410" spans="1:4">
      <c r="A410" s="1" t="s">
        <v>25</v>
      </c>
      <c r="B410" s="14">
        <v>70403</v>
      </c>
      <c r="C410" s="1" t="s">
        <v>442</v>
      </c>
      <c r="D410" s="13">
        <v>1226</v>
      </c>
    </row>
    <row r="411" spans="1:4">
      <c r="A411" s="1" t="s">
        <v>25</v>
      </c>
      <c r="B411" s="14">
        <v>70405</v>
      </c>
      <c r="C411" s="1" t="s">
        <v>443</v>
      </c>
      <c r="D411" s="13">
        <v>1530</v>
      </c>
    </row>
    <row r="412" spans="1:4">
      <c r="A412" s="1" t="s">
        <v>25</v>
      </c>
      <c r="B412" s="14">
        <v>70406</v>
      </c>
      <c r="C412" s="1" t="s">
        <v>444</v>
      </c>
      <c r="D412" s="13">
        <v>2006</v>
      </c>
    </row>
    <row r="413" spans="1:4">
      <c r="A413" s="1" t="s">
        <v>25</v>
      </c>
      <c r="B413" s="14">
        <v>70408</v>
      </c>
      <c r="C413" s="1" t="s">
        <v>445</v>
      </c>
      <c r="D413" s="13">
        <v>1491</v>
      </c>
    </row>
    <row r="414" spans="1:4">
      <c r="A414" s="1" t="s">
        <v>25</v>
      </c>
      <c r="B414" s="14">
        <v>70409</v>
      </c>
      <c r="C414" s="1" t="s">
        <v>446</v>
      </c>
      <c r="D414" s="13">
        <v>1167</v>
      </c>
    </row>
    <row r="415" spans="1:4">
      <c r="A415" s="1" t="s">
        <v>25</v>
      </c>
      <c r="B415" s="14">
        <v>70410</v>
      </c>
      <c r="C415" s="1" t="s">
        <v>447</v>
      </c>
      <c r="D415" s="13">
        <v>1285</v>
      </c>
    </row>
    <row r="416" spans="1:4">
      <c r="A416" s="1" t="s">
        <v>25</v>
      </c>
      <c r="B416" s="14">
        <v>70415</v>
      </c>
      <c r="C416" s="1" t="s">
        <v>448</v>
      </c>
      <c r="D416" s="13">
        <v>1412</v>
      </c>
    </row>
    <row r="417" spans="1:4">
      <c r="A417" s="1" t="s">
        <v>25</v>
      </c>
      <c r="B417" s="14">
        <v>71413</v>
      </c>
      <c r="C417" s="1" t="s">
        <v>449</v>
      </c>
      <c r="D417" s="13">
        <v>657</v>
      </c>
    </row>
    <row r="418" spans="1:4">
      <c r="A418" s="1" t="s">
        <v>25</v>
      </c>
      <c r="B418" s="14">
        <v>71414</v>
      </c>
      <c r="C418" s="1" t="s">
        <v>450</v>
      </c>
      <c r="D418" s="13">
        <v>2168</v>
      </c>
    </row>
    <row r="419" spans="1:4">
      <c r="A419" s="1" t="s">
        <v>26</v>
      </c>
      <c r="B419" s="14">
        <v>80401</v>
      </c>
      <c r="C419" s="1" t="s">
        <v>451</v>
      </c>
      <c r="D419" s="13">
        <v>186</v>
      </c>
    </row>
    <row r="420" spans="1:4">
      <c r="A420" s="1" t="s">
        <v>26</v>
      </c>
      <c r="B420" s="14">
        <v>80403</v>
      </c>
      <c r="C420" s="1" t="s">
        <v>452</v>
      </c>
      <c r="D420" s="13">
        <v>617</v>
      </c>
    </row>
    <row r="421" spans="1:4">
      <c r="A421" s="1" t="s">
        <v>26</v>
      </c>
      <c r="B421" s="14">
        <v>80404</v>
      </c>
      <c r="C421" s="1" t="s">
        <v>453</v>
      </c>
      <c r="D421" s="13">
        <v>631</v>
      </c>
    </row>
    <row r="422" spans="1:4">
      <c r="A422" s="1" t="s">
        <v>26</v>
      </c>
      <c r="B422" s="14">
        <v>80406</v>
      </c>
      <c r="C422" s="1" t="s">
        <v>454</v>
      </c>
      <c r="D422" s="13">
        <v>1280</v>
      </c>
    </row>
    <row r="423" spans="1:4">
      <c r="A423" s="1" t="s">
        <v>26</v>
      </c>
      <c r="B423" s="14">
        <v>80410</v>
      </c>
      <c r="C423" s="1" t="s">
        <v>455</v>
      </c>
      <c r="D423" s="13">
        <v>690</v>
      </c>
    </row>
    <row r="424" spans="1:4">
      <c r="A424" s="1" t="s">
        <v>26</v>
      </c>
      <c r="B424" s="14">
        <v>81409</v>
      </c>
      <c r="C424" s="1" t="s">
        <v>456</v>
      </c>
      <c r="D424" s="13">
        <v>636</v>
      </c>
    </row>
    <row r="425" spans="1:4">
      <c r="A425" s="1" t="s">
        <v>27</v>
      </c>
      <c r="B425" s="14">
        <v>90401</v>
      </c>
      <c r="C425" s="1" t="s">
        <v>457</v>
      </c>
      <c r="D425" s="13">
        <v>1205</v>
      </c>
    </row>
    <row r="426" spans="1:4">
      <c r="A426" s="1" t="s">
        <v>27</v>
      </c>
      <c r="B426" s="14">
        <v>90402</v>
      </c>
      <c r="C426" s="1" t="s">
        <v>458</v>
      </c>
      <c r="D426" s="13">
        <v>1534</v>
      </c>
    </row>
    <row r="427" spans="1:4">
      <c r="A427" s="1" t="s">
        <v>27</v>
      </c>
      <c r="B427" s="14">
        <v>90403</v>
      </c>
      <c r="C427" s="1" t="s">
        <v>459</v>
      </c>
      <c r="D427" s="13">
        <v>995</v>
      </c>
    </row>
    <row r="428" spans="1:4">
      <c r="A428" s="1" t="s">
        <v>27</v>
      </c>
      <c r="B428" s="14">
        <v>90404</v>
      </c>
      <c r="C428" s="1" t="s">
        <v>460</v>
      </c>
      <c r="D428" s="13">
        <v>824</v>
      </c>
    </row>
    <row r="429" spans="1:4">
      <c r="A429" s="1" t="s">
        <v>27</v>
      </c>
      <c r="B429" s="14">
        <v>90413</v>
      </c>
      <c r="C429" s="1" t="s">
        <v>461</v>
      </c>
      <c r="D429" s="13">
        <v>951</v>
      </c>
    </row>
    <row r="430" spans="1:4">
      <c r="A430" s="1" t="s">
        <v>27</v>
      </c>
      <c r="B430" s="14">
        <v>91410</v>
      </c>
      <c r="C430" s="1" t="s">
        <v>462</v>
      </c>
      <c r="D430" s="13">
        <v>681</v>
      </c>
    </row>
    <row r="431" spans="1:4">
      <c r="A431" s="1" t="s">
        <v>27</v>
      </c>
      <c r="B431" s="14">
        <v>91414</v>
      </c>
      <c r="C431" s="1" t="s">
        <v>463</v>
      </c>
      <c r="D431" s="13">
        <v>455</v>
      </c>
    </row>
    <row r="432" spans="1:4">
      <c r="A432" s="1" t="s">
        <v>28</v>
      </c>
      <c r="B432" s="11">
        <v>100402</v>
      </c>
      <c r="C432" s="1" t="s">
        <v>464</v>
      </c>
      <c r="D432" s="13">
        <v>963</v>
      </c>
    </row>
    <row r="433" spans="1:4">
      <c r="A433" s="1" t="s">
        <v>28</v>
      </c>
      <c r="B433" s="11">
        <v>101405</v>
      </c>
      <c r="C433" s="1" t="s">
        <v>465</v>
      </c>
      <c r="D433" s="13">
        <v>0</v>
      </c>
    </row>
    <row r="434" spans="1:4">
      <c r="A434" s="1" t="s">
        <v>28</v>
      </c>
      <c r="B434" s="11">
        <v>101406</v>
      </c>
      <c r="C434" s="1" t="s">
        <v>466</v>
      </c>
      <c r="D434" s="13">
        <v>1194</v>
      </c>
    </row>
    <row r="435" spans="1:4">
      <c r="A435" s="1" t="s">
        <v>29</v>
      </c>
      <c r="B435" s="11">
        <v>110401</v>
      </c>
      <c r="C435" s="1" t="s">
        <v>467</v>
      </c>
      <c r="D435" s="13">
        <v>1140</v>
      </c>
    </row>
    <row r="436" spans="1:4">
      <c r="A436" s="1" t="s">
        <v>29</v>
      </c>
      <c r="B436" s="11">
        <v>110403</v>
      </c>
      <c r="C436" s="1" t="s">
        <v>468</v>
      </c>
      <c r="D436" s="13">
        <v>331</v>
      </c>
    </row>
    <row r="437" spans="1:4">
      <c r="A437" s="1" t="s">
        <v>29</v>
      </c>
      <c r="B437" s="11">
        <v>110404</v>
      </c>
      <c r="C437" s="1" t="s">
        <v>469</v>
      </c>
      <c r="D437" s="13">
        <v>1430</v>
      </c>
    </row>
    <row r="438" spans="1:4">
      <c r="A438" s="1" t="s">
        <v>29</v>
      </c>
      <c r="B438" s="11">
        <v>110405</v>
      </c>
      <c r="C438" s="1" t="s">
        <v>470</v>
      </c>
      <c r="D438" s="13">
        <v>894</v>
      </c>
    </row>
    <row r="439" spans="1:4">
      <c r="A439" s="1" t="s">
        <v>29</v>
      </c>
      <c r="B439" s="11">
        <v>110406</v>
      </c>
      <c r="C439" s="1" t="s">
        <v>471</v>
      </c>
      <c r="D439" s="13">
        <v>1025</v>
      </c>
    </row>
    <row r="440" spans="1:4">
      <c r="A440" s="1" t="s">
        <v>29</v>
      </c>
      <c r="B440" s="11">
        <v>110407</v>
      </c>
      <c r="C440" s="1" t="s">
        <v>472</v>
      </c>
      <c r="D440" s="13">
        <v>464</v>
      </c>
    </row>
    <row r="441" spans="1:4">
      <c r="A441" s="1" t="s">
        <v>29</v>
      </c>
      <c r="B441" s="11">
        <v>110409</v>
      </c>
      <c r="C441" s="1" t="s">
        <v>473</v>
      </c>
      <c r="D441" s="13">
        <v>2477</v>
      </c>
    </row>
    <row r="442" spans="1:4">
      <c r="A442" s="1" t="s">
        <v>29</v>
      </c>
      <c r="B442" s="11">
        <v>110410</v>
      </c>
      <c r="C442" s="1" t="s">
        <v>474</v>
      </c>
      <c r="D442" s="13">
        <v>1094</v>
      </c>
    </row>
    <row r="443" spans="1:4">
      <c r="A443" s="1" t="s">
        <v>29</v>
      </c>
      <c r="B443" s="11">
        <v>111419</v>
      </c>
      <c r="C443" s="1" t="s">
        <v>475</v>
      </c>
      <c r="D443" s="13">
        <v>306</v>
      </c>
    </row>
    <row r="444" spans="1:4">
      <c r="A444" s="1" t="s">
        <v>29</v>
      </c>
      <c r="B444" s="11">
        <v>111427</v>
      </c>
      <c r="C444" s="1" t="s">
        <v>476</v>
      </c>
      <c r="D444" s="13">
        <v>507</v>
      </c>
    </row>
    <row r="445" spans="1:4">
      <c r="A445" s="1" t="s">
        <v>30</v>
      </c>
      <c r="B445" s="11">
        <v>120401</v>
      </c>
      <c r="C445" s="1" t="s">
        <v>477</v>
      </c>
      <c r="D445" s="13">
        <v>581</v>
      </c>
    </row>
    <row r="446" spans="1:4">
      <c r="A446" s="1" t="s">
        <v>30</v>
      </c>
      <c r="B446" s="11">
        <v>120402</v>
      </c>
      <c r="C446" s="1" t="s">
        <v>478</v>
      </c>
      <c r="D446" s="13">
        <v>1630</v>
      </c>
    </row>
    <row r="447" spans="1:4">
      <c r="A447" s="1" t="s">
        <v>30</v>
      </c>
      <c r="B447" s="11">
        <v>120409</v>
      </c>
      <c r="C447" s="1" t="s">
        <v>479</v>
      </c>
      <c r="D447" s="13">
        <v>2075</v>
      </c>
    </row>
    <row r="448" spans="1:4">
      <c r="A448" s="1" t="s">
        <v>30</v>
      </c>
      <c r="B448" s="11">
        <v>121405</v>
      </c>
      <c r="C448" s="1" t="s">
        <v>480</v>
      </c>
      <c r="D448" s="13">
        <v>7724</v>
      </c>
    </row>
    <row r="449" spans="1:4">
      <c r="A449" s="1" t="s">
        <v>30</v>
      </c>
      <c r="B449" s="11">
        <v>121410</v>
      </c>
      <c r="C449" s="1" t="s">
        <v>481</v>
      </c>
      <c r="D449" s="13">
        <v>106</v>
      </c>
    </row>
    <row r="450" spans="1:4">
      <c r="A450" s="1" t="s">
        <v>30</v>
      </c>
      <c r="B450" s="11">
        <v>121413</v>
      </c>
      <c r="C450" s="1" t="s">
        <v>482</v>
      </c>
      <c r="D450" s="13">
        <v>1090</v>
      </c>
    </row>
    <row r="451" spans="1:4">
      <c r="A451" s="1" t="s">
        <v>30</v>
      </c>
      <c r="B451" s="11">
        <v>121415</v>
      </c>
      <c r="C451" s="1" t="s">
        <v>483</v>
      </c>
      <c r="D451" s="13">
        <v>421</v>
      </c>
    </row>
    <row r="452" spans="1:4">
      <c r="A452" s="1" t="s">
        <v>30</v>
      </c>
      <c r="B452" s="11">
        <v>121417</v>
      </c>
      <c r="C452" s="1" t="s">
        <v>484</v>
      </c>
      <c r="D452" s="13">
        <v>1210</v>
      </c>
    </row>
    <row r="453" spans="1:4">
      <c r="A453" s="1" t="s">
        <v>31</v>
      </c>
      <c r="B453" s="11">
        <v>130401</v>
      </c>
      <c r="C453" s="1" t="s">
        <v>485</v>
      </c>
      <c r="D453" s="13">
        <v>556</v>
      </c>
    </row>
    <row r="454" spans="1:4">
      <c r="A454" s="1" t="s">
        <v>31</v>
      </c>
      <c r="B454" s="11">
        <v>130403</v>
      </c>
      <c r="C454" s="1" t="s">
        <v>486</v>
      </c>
      <c r="D454" s="13">
        <v>1738</v>
      </c>
    </row>
    <row r="455" spans="1:4">
      <c r="A455" s="1" t="s">
        <v>31</v>
      </c>
      <c r="B455" s="11">
        <v>130404</v>
      </c>
      <c r="C455" s="1" t="s">
        <v>487</v>
      </c>
      <c r="D455" s="13">
        <v>779</v>
      </c>
    </row>
    <row r="456" spans="1:4">
      <c r="A456" s="1" t="s">
        <v>31</v>
      </c>
      <c r="B456" s="11">
        <v>130410</v>
      </c>
      <c r="C456" s="1" t="s">
        <v>488</v>
      </c>
      <c r="D456" s="13">
        <v>778</v>
      </c>
    </row>
    <row r="457" spans="1:4">
      <c r="A457" s="1" t="s">
        <v>31</v>
      </c>
      <c r="B457" s="11">
        <v>130417</v>
      </c>
      <c r="C457" s="1" t="s">
        <v>489</v>
      </c>
      <c r="D457" s="13">
        <v>592</v>
      </c>
    </row>
    <row r="458" spans="1:4">
      <c r="A458" s="1" t="s">
        <v>31</v>
      </c>
      <c r="B458" s="11">
        <v>131409</v>
      </c>
      <c r="C458" s="1" t="s">
        <v>490</v>
      </c>
      <c r="D458" s="13">
        <v>383</v>
      </c>
    </row>
    <row r="459" spans="1:4">
      <c r="A459" s="1" t="s">
        <v>31</v>
      </c>
      <c r="B459" s="11">
        <v>131418</v>
      </c>
      <c r="C459" s="1" t="s">
        <v>491</v>
      </c>
      <c r="D459" s="13">
        <v>74</v>
      </c>
    </row>
    <row r="460" spans="1:4">
      <c r="A460" s="1" t="s">
        <v>18</v>
      </c>
      <c r="B460" s="11">
        <v>140404</v>
      </c>
      <c r="C460" s="1" t="s">
        <v>492</v>
      </c>
      <c r="D460" s="13">
        <v>185</v>
      </c>
    </row>
    <row r="461" spans="1:4">
      <c r="A461" s="1" t="s">
        <v>18</v>
      </c>
      <c r="B461" s="11">
        <v>140405</v>
      </c>
      <c r="C461" s="1" t="s">
        <v>493</v>
      </c>
      <c r="D461" s="13">
        <v>983</v>
      </c>
    </row>
    <row r="462" spans="1:4">
      <c r="A462" s="1" t="s">
        <v>18</v>
      </c>
      <c r="B462" s="11">
        <v>140408</v>
      </c>
      <c r="C462" s="1" t="s">
        <v>494</v>
      </c>
      <c r="D462" s="13">
        <v>130</v>
      </c>
    </row>
    <row r="463" spans="1:4">
      <c r="A463" s="1" t="s">
        <v>18</v>
      </c>
      <c r="B463" s="11">
        <v>141406</v>
      </c>
      <c r="C463" s="1" t="s">
        <v>495</v>
      </c>
      <c r="D463" s="13">
        <v>587</v>
      </c>
    </row>
    <row r="464" spans="1:4">
      <c r="A464" s="1" t="s">
        <v>32</v>
      </c>
      <c r="B464" s="11">
        <v>150401</v>
      </c>
      <c r="C464" s="1" t="s">
        <v>496</v>
      </c>
      <c r="D464" s="13">
        <v>702</v>
      </c>
    </row>
    <row r="465" spans="1:4">
      <c r="A465" s="1" t="s">
        <v>32</v>
      </c>
      <c r="B465" s="11">
        <v>150404</v>
      </c>
      <c r="C465" s="1" t="s">
        <v>497</v>
      </c>
      <c r="D465" s="13">
        <v>1024</v>
      </c>
    </row>
    <row r="466" spans="1:4">
      <c r="A466" s="1" t="s">
        <v>32</v>
      </c>
      <c r="B466" s="11">
        <v>150405</v>
      </c>
      <c r="C466" s="1" t="s">
        <v>498</v>
      </c>
      <c r="D466" s="13">
        <v>864</v>
      </c>
    </row>
    <row r="467" spans="1:4">
      <c r="A467" s="1" t="s">
        <v>32</v>
      </c>
      <c r="B467" s="11">
        <v>150411</v>
      </c>
      <c r="C467" s="1" t="s">
        <v>499</v>
      </c>
      <c r="D467" s="13">
        <v>198</v>
      </c>
    </row>
    <row r="468" spans="1:4">
      <c r="A468" s="1" t="s">
        <v>32</v>
      </c>
      <c r="B468" s="11">
        <v>151410</v>
      </c>
      <c r="C468" s="1" t="s">
        <v>500</v>
      </c>
      <c r="D468" s="13">
        <v>335</v>
      </c>
    </row>
    <row r="469" spans="1:4">
      <c r="A469" s="1" t="s">
        <v>33</v>
      </c>
      <c r="B469" s="11">
        <v>160401</v>
      </c>
      <c r="C469" s="1" t="s">
        <v>501</v>
      </c>
      <c r="D469" s="13">
        <v>727</v>
      </c>
    </row>
    <row r="470" spans="1:4">
      <c r="A470" s="1" t="s">
        <v>34</v>
      </c>
      <c r="B470" s="11">
        <v>170403</v>
      </c>
      <c r="C470" s="1" t="s">
        <v>502</v>
      </c>
      <c r="D470" s="13">
        <v>1024</v>
      </c>
    </row>
    <row r="471" spans="1:4">
      <c r="A471" s="1" t="s">
        <v>34</v>
      </c>
      <c r="B471" s="11">
        <v>170404</v>
      </c>
      <c r="C471" s="1" t="s">
        <v>503</v>
      </c>
      <c r="D471" s="13">
        <v>1327</v>
      </c>
    </row>
    <row r="472" spans="1:4">
      <c r="A472" s="1" t="s">
        <v>34</v>
      </c>
      <c r="B472" s="11">
        <v>171405</v>
      </c>
      <c r="C472" s="1" t="s">
        <v>504</v>
      </c>
      <c r="D472" s="13">
        <v>238</v>
      </c>
    </row>
    <row r="473" spans="1:4">
      <c r="A473" s="1" t="s">
        <v>34</v>
      </c>
      <c r="B473" s="11">
        <v>171407</v>
      </c>
      <c r="C473" s="1" t="s">
        <v>505</v>
      </c>
      <c r="D473" s="13">
        <v>104</v>
      </c>
    </row>
    <row r="474" spans="1:4">
      <c r="A474" s="1" t="s">
        <v>35</v>
      </c>
      <c r="B474" s="11">
        <v>180403</v>
      </c>
      <c r="C474" s="1" t="s">
        <v>506</v>
      </c>
      <c r="D474" s="13">
        <v>1498</v>
      </c>
    </row>
    <row r="475" spans="1:4">
      <c r="A475" s="1" t="s">
        <v>35</v>
      </c>
      <c r="B475" s="11">
        <v>180404</v>
      </c>
      <c r="C475" s="1" t="s">
        <v>507</v>
      </c>
      <c r="D475" s="13">
        <v>1514</v>
      </c>
    </row>
    <row r="476" spans="1:4">
      <c r="A476" s="1" t="s">
        <v>24</v>
      </c>
      <c r="B476" s="11">
        <v>190406</v>
      </c>
      <c r="C476" s="1" t="s">
        <v>508</v>
      </c>
      <c r="D476" s="13">
        <v>2133</v>
      </c>
    </row>
    <row r="477" spans="1:4">
      <c r="A477" s="1" t="s">
        <v>24</v>
      </c>
      <c r="B477" s="11">
        <v>191412</v>
      </c>
      <c r="C477" s="1" t="s">
        <v>509</v>
      </c>
      <c r="D477" s="13">
        <v>227</v>
      </c>
    </row>
    <row r="478" spans="1:4">
      <c r="A478" s="1" t="s">
        <v>24</v>
      </c>
      <c r="B478" s="11">
        <v>193404</v>
      </c>
      <c r="C478" s="1" t="s">
        <v>510</v>
      </c>
      <c r="D478" s="13">
        <v>2079</v>
      </c>
    </row>
    <row r="479" spans="1:4">
      <c r="A479" s="1" t="s">
        <v>24</v>
      </c>
      <c r="B479" s="11">
        <v>193407</v>
      </c>
      <c r="C479" s="1" t="s">
        <v>511</v>
      </c>
      <c r="D479" s="13">
        <v>3275</v>
      </c>
    </row>
    <row r="480" spans="1:4">
      <c r="A480" s="1" t="s">
        <v>36</v>
      </c>
      <c r="B480" s="11">
        <v>200401</v>
      </c>
      <c r="C480" s="1" t="s">
        <v>512</v>
      </c>
      <c r="D480" s="13">
        <v>1325</v>
      </c>
    </row>
    <row r="481" spans="1:4">
      <c r="A481" s="1" t="s">
        <v>36</v>
      </c>
      <c r="B481" s="11">
        <v>200405</v>
      </c>
      <c r="C481" s="1" t="s">
        <v>513</v>
      </c>
      <c r="D481" s="13">
        <v>2506</v>
      </c>
    </row>
    <row r="482" spans="1:4">
      <c r="A482" s="1" t="s">
        <v>36</v>
      </c>
      <c r="B482" s="11">
        <v>200406</v>
      </c>
      <c r="C482" s="1" t="s">
        <v>514</v>
      </c>
      <c r="D482" s="13">
        <v>1414</v>
      </c>
    </row>
    <row r="483" spans="1:4">
      <c r="A483" s="1" t="s">
        <v>36</v>
      </c>
      <c r="B483" s="11">
        <v>200407</v>
      </c>
      <c r="C483" s="1" t="s">
        <v>515</v>
      </c>
      <c r="D483" s="13">
        <v>1051</v>
      </c>
    </row>
    <row r="484" spans="1:4">
      <c r="A484" s="1" t="s">
        <v>36</v>
      </c>
      <c r="B484" s="11">
        <v>201408</v>
      </c>
      <c r="C484" s="1" t="s">
        <v>516</v>
      </c>
      <c r="D484" s="13">
        <v>2195</v>
      </c>
    </row>
    <row r="485" spans="1:4">
      <c r="A485" s="1" t="s">
        <v>29</v>
      </c>
      <c r="B485" s="11">
        <v>210408</v>
      </c>
      <c r="C485" s="1" t="s">
        <v>517</v>
      </c>
      <c r="D485" s="13">
        <v>1853</v>
      </c>
    </row>
    <row r="486" spans="1:4">
      <c r="A486" s="1" t="s">
        <v>29</v>
      </c>
      <c r="B486" s="11">
        <v>210416</v>
      </c>
      <c r="C486" s="1" t="s">
        <v>518</v>
      </c>
      <c r="D486" s="13">
        <v>886</v>
      </c>
    </row>
    <row r="487" spans="1:4">
      <c r="A487" s="1" t="s">
        <v>29</v>
      </c>
      <c r="B487" s="11">
        <v>211407</v>
      </c>
      <c r="C487" s="1" t="s">
        <v>519</v>
      </c>
      <c r="D487" s="13">
        <v>892</v>
      </c>
    </row>
    <row r="488" spans="1:4">
      <c r="A488" s="1" t="s">
        <v>29</v>
      </c>
      <c r="B488" s="11">
        <v>211412</v>
      </c>
      <c r="C488" s="1" t="s">
        <v>520</v>
      </c>
      <c r="D488" s="13">
        <v>654</v>
      </c>
    </row>
    <row r="489" spans="1:4">
      <c r="A489" s="1" t="s">
        <v>29</v>
      </c>
      <c r="B489" s="11">
        <v>211419</v>
      </c>
      <c r="C489" s="1" t="s">
        <v>521</v>
      </c>
      <c r="D489" s="13">
        <v>802</v>
      </c>
    </row>
    <row r="490" spans="1:4">
      <c r="A490" s="1" t="s">
        <v>17</v>
      </c>
      <c r="B490" s="11">
        <v>311401</v>
      </c>
      <c r="C490" s="1" t="s">
        <v>522</v>
      </c>
      <c r="D490" s="13">
        <v>1511</v>
      </c>
    </row>
    <row r="491" spans="1:4">
      <c r="A491" s="1" t="s">
        <v>17</v>
      </c>
      <c r="B491" s="11">
        <v>323401</v>
      </c>
      <c r="C491" s="1" t="s">
        <v>523</v>
      </c>
      <c r="D491" s="13">
        <v>1845</v>
      </c>
    </row>
    <row r="492" spans="1:4">
      <c r="A492" s="1" t="s">
        <v>17</v>
      </c>
      <c r="B492" s="11">
        <v>323402</v>
      </c>
      <c r="C492" s="1" t="s">
        <v>524</v>
      </c>
      <c r="D492" s="13">
        <v>2170</v>
      </c>
    </row>
    <row r="493" spans="1:4">
      <c r="A493" s="1" t="s">
        <v>17</v>
      </c>
      <c r="B493" s="11">
        <v>331402</v>
      </c>
      <c r="C493" s="1" t="s">
        <v>525</v>
      </c>
      <c r="D493" s="13">
        <v>52</v>
      </c>
    </row>
    <row r="494" spans="1:4">
      <c r="A494" s="1" t="s">
        <v>17</v>
      </c>
      <c r="B494" s="11">
        <v>331403</v>
      </c>
      <c r="C494" s="1" t="s">
        <v>526</v>
      </c>
      <c r="D494" s="13">
        <v>234</v>
      </c>
    </row>
    <row r="495" spans="1:4">
      <c r="A495" s="1" t="s">
        <v>17</v>
      </c>
      <c r="B495" s="11">
        <v>331404</v>
      </c>
      <c r="C495" s="1" t="s">
        <v>527</v>
      </c>
      <c r="D495" s="13">
        <v>764</v>
      </c>
    </row>
    <row r="496" spans="1:4">
      <c r="A496" s="1" t="s">
        <v>17</v>
      </c>
      <c r="B496" s="11">
        <v>333401</v>
      </c>
      <c r="C496" s="1" t="s">
        <v>528</v>
      </c>
      <c r="D496" s="13">
        <v>2923</v>
      </c>
    </row>
    <row r="497" spans="1:4">
      <c r="A497" s="1" t="s">
        <v>17</v>
      </c>
      <c r="B497" s="11">
        <v>341402</v>
      </c>
      <c r="C497" s="1" t="s">
        <v>529</v>
      </c>
      <c r="D497" s="13">
        <v>1001</v>
      </c>
    </row>
    <row r="498" spans="1:4">
      <c r="A498" s="1" t="s">
        <v>17</v>
      </c>
      <c r="B498" s="11">
        <v>351402</v>
      </c>
      <c r="C498" s="1" t="s">
        <v>530</v>
      </c>
      <c r="D498" s="13">
        <v>740</v>
      </c>
    </row>
    <row r="499" spans="1:4">
      <c r="A499" s="1" t="s">
        <v>17</v>
      </c>
      <c r="B499" s="11">
        <v>361401</v>
      </c>
      <c r="C499" s="1" t="s">
        <v>531</v>
      </c>
      <c r="D499" s="13">
        <v>982</v>
      </c>
    </row>
    <row r="500" spans="1:4">
      <c r="A500" s="1" t="s">
        <v>17</v>
      </c>
      <c r="B500" s="11">
        <v>383401</v>
      </c>
      <c r="C500" s="1" t="s">
        <v>532</v>
      </c>
      <c r="D500" s="13">
        <v>1576</v>
      </c>
    </row>
    <row r="501" spans="1:4">
      <c r="A501" s="1" t="s">
        <v>17</v>
      </c>
      <c r="B501" s="11">
        <v>393401</v>
      </c>
      <c r="C501" s="1" t="s">
        <v>533</v>
      </c>
      <c r="D501" s="13">
        <v>2077</v>
      </c>
    </row>
    <row r="502" spans="1:4">
      <c r="A502" s="1" t="s">
        <v>17</v>
      </c>
      <c r="B502" s="11">
        <v>403401</v>
      </c>
      <c r="C502" s="1" t="s">
        <v>534</v>
      </c>
      <c r="D502" s="13">
        <v>1862</v>
      </c>
    </row>
    <row r="503" spans="1:4">
      <c r="A503" s="1" t="s">
        <v>17</v>
      </c>
      <c r="B503" s="11">
        <v>411401</v>
      </c>
      <c r="C503" s="1" t="s">
        <v>535</v>
      </c>
      <c r="D503" s="13">
        <v>692</v>
      </c>
    </row>
    <row r="504" spans="1:4">
      <c r="A504" s="1" t="s">
        <v>17</v>
      </c>
      <c r="B504" s="11">
        <v>413401</v>
      </c>
      <c r="C504" s="1" t="s">
        <v>536</v>
      </c>
      <c r="D504" s="13">
        <v>2206</v>
      </c>
    </row>
    <row r="505" spans="1:4">
      <c r="A505" s="1" t="s">
        <v>17</v>
      </c>
      <c r="B505" s="11">
        <v>421404</v>
      </c>
      <c r="C505" s="1" t="s">
        <v>537</v>
      </c>
      <c r="D505" s="13">
        <v>493</v>
      </c>
    </row>
    <row r="506" spans="1:4">
      <c r="A506" s="1" t="s">
        <v>30</v>
      </c>
      <c r="B506" s="11">
        <v>521401</v>
      </c>
      <c r="C506" s="1" t="s">
        <v>538</v>
      </c>
      <c r="D506" s="13">
        <v>791</v>
      </c>
    </row>
    <row r="507" spans="1:4">
      <c r="A507" s="1" t="s">
        <v>30</v>
      </c>
      <c r="B507" s="11">
        <v>533401</v>
      </c>
      <c r="C507" s="1" t="s">
        <v>539</v>
      </c>
      <c r="D507" s="13">
        <v>1798</v>
      </c>
    </row>
    <row r="508" spans="1:4">
      <c r="A508" s="1" t="s">
        <v>30</v>
      </c>
      <c r="B508" s="11">
        <v>533402</v>
      </c>
      <c r="C508" s="1" t="s">
        <v>540</v>
      </c>
      <c r="D508" s="13">
        <v>1668</v>
      </c>
    </row>
    <row r="509" spans="1:4">
      <c r="A509" s="1" t="s">
        <v>30</v>
      </c>
      <c r="B509" s="11">
        <v>551402</v>
      </c>
      <c r="C509" s="1" t="s">
        <v>541</v>
      </c>
      <c r="D509" s="13">
        <v>4026</v>
      </c>
    </row>
    <row r="510" spans="1:4">
      <c r="A510" s="1" t="s">
        <v>30</v>
      </c>
      <c r="B510" s="11">
        <v>553401</v>
      </c>
      <c r="C510" s="1" t="s">
        <v>542</v>
      </c>
      <c r="D510" s="13">
        <v>2550</v>
      </c>
    </row>
    <row r="511" spans="1:4">
      <c r="A511" s="1" t="s">
        <v>30</v>
      </c>
      <c r="B511" s="11">
        <v>563401</v>
      </c>
      <c r="C511" s="1" t="s">
        <v>543</v>
      </c>
      <c r="D511" s="13">
        <v>1751</v>
      </c>
    </row>
    <row r="512" spans="1:4">
      <c r="A512" s="1" t="s">
        <v>30</v>
      </c>
      <c r="B512" s="11">
        <v>581401</v>
      </c>
      <c r="C512" s="1" t="s">
        <v>544</v>
      </c>
      <c r="D512" s="13">
        <v>0</v>
      </c>
    </row>
    <row r="513" spans="1:4">
      <c r="A513" s="1" t="s">
        <v>30</v>
      </c>
      <c r="B513" s="11">
        <v>581402</v>
      </c>
      <c r="C513" s="1" t="s">
        <v>545</v>
      </c>
      <c r="D513" s="13">
        <v>1842</v>
      </c>
    </row>
    <row r="514" spans="1:4">
      <c r="A514" s="1" t="s">
        <v>30</v>
      </c>
      <c r="B514" s="11">
        <v>593401</v>
      </c>
      <c r="C514" s="1" t="s">
        <v>546</v>
      </c>
      <c r="D514" s="13">
        <v>1970</v>
      </c>
    </row>
    <row r="515" spans="1:4">
      <c r="A515" s="1" t="s">
        <v>30</v>
      </c>
      <c r="B515" s="11">
        <v>610405</v>
      </c>
      <c r="C515" s="1" t="s">
        <v>547</v>
      </c>
      <c r="D515" s="13">
        <v>230</v>
      </c>
    </row>
    <row r="516" spans="1:4">
      <c r="A516" s="1" t="s">
        <v>37</v>
      </c>
      <c r="B516" s="11">
        <v>710401</v>
      </c>
      <c r="C516" s="1" t="s">
        <v>548</v>
      </c>
      <c r="D516" s="13">
        <v>851</v>
      </c>
    </row>
    <row r="517" spans="1:4">
      <c r="A517" s="1" t="s">
        <v>17</v>
      </c>
      <c r="B517" s="11" t="s">
        <v>596</v>
      </c>
      <c r="C517" s="1" t="s">
        <v>549</v>
      </c>
      <c r="D517" s="13">
        <v>470</v>
      </c>
    </row>
    <row r="518" spans="1:4">
      <c r="A518" s="1" t="s">
        <v>17</v>
      </c>
      <c r="B518" s="11" t="s">
        <v>597</v>
      </c>
      <c r="C518" s="1" t="s">
        <v>550</v>
      </c>
      <c r="D518" s="13">
        <v>1328</v>
      </c>
    </row>
    <row r="519" spans="1:4">
      <c r="A519" s="1" t="s">
        <v>19</v>
      </c>
      <c r="B519" s="14" t="s">
        <v>598</v>
      </c>
      <c r="C519" s="1" t="s">
        <v>551</v>
      </c>
      <c r="D519" s="13">
        <v>435</v>
      </c>
    </row>
    <row r="520" spans="1:4">
      <c r="A520" s="1" t="s">
        <v>29</v>
      </c>
      <c r="B520" s="11" t="s">
        <v>599</v>
      </c>
      <c r="C520" s="1" t="s">
        <v>552</v>
      </c>
      <c r="D520" s="13">
        <v>202</v>
      </c>
    </row>
    <row r="521" spans="1:4">
      <c r="A521" s="1" t="s">
        <v>25</v>
      </c>
      <c r="B521" s="14" t="s">
        <v>600</v>
      </c>
      <c r="C521" s="1" t="s">
        <v>553</v>
      </c>
      <c r="D521" s="13">
        <v>355</v>
      </c>
    </row>
    <row r="522" spans="1:4">
      <c r="A522" s="1" t="s">
        <v>30</v>
      </c>
      <c r="B522" s="11" t="s">
        <v>601</v>
      </c>
      <c r="C522" s="1" t="s">
        <v>554</v>
      </c>
      <c r="D522" s="13">
        <v>8</v>
      </c>
    </row>
    <row r="523" spans="1:4">
      <c r="A523" s="1" t="s">
        <v>21</v>
      </c>
      <c r="B523" s="14" t="s">
        <v>602</v>
      </c>
      <c r="C523" s="1" t="s">
        <v>555</v>
      </c>
      <c r="D523" s="13">
        <v>99</v>
      </c>
    </row>
    <row r="524" spans="1:4">
      <c r="A524" s="1" t="s">
        <v>25</v>
      </c>
      <c r="B524" s="14" t="s">
        <v>603</v>
      </c>
      <c r="C524" s="1" t="s">
        <v>556</v>
      </c>
      <c r="D524" s="13">
        <v>13</v>
      </c>
    </row>
    <row r="525" spans="1:4">
      <c r="A525" s="1" t="s">
        <v>29</v>
      </c>
      <c r="B525" s="11" t="s">
        <v>604</v>
      </c>
      <c r="C525" s="1" t="s">
        <v>557</v>
      </c>
      <c r="D525" s="13">
        <v>79</v>
      </c>
    </row>
    <row r="526" spans="1:4">
      <c r="A526" s="1" t="s">
        <v>32</v>
      </c>
      <c r="B526" s="11" t="s">
        <v>605</v>
      </c>
      <c r="C526" s="1" t="s">
        <v>558</v>
      </c>
      <c r="D526" s="13">
        <v>62</v>
      </c>
    </row>
    <row r="527" spans="1:4">
      <c r="A527" s="1" t="s">
        <v>21</v>
      </c>
      <c r="B527" s="14" t="s">
        <v>606</v>
      </c>
      <c r="C527" s="1" t="s">
        <v>559</v>
      </c>
      <c r="D527" s="13">
        <v>135</v>
      </c>
    </row>
    <row r="528" spans="1:4">
      <c r="A528" s="1" t="s">
        <v>22</v>
      </c>
      <c r="B528" s="14" t="s">
        <v>607</v>
      </c>
      <c r="C528" s="1" t="s">
        <v>560</v>
      </c>
      <c r="D528" s="13">
        <v>173</v>
      </c>
    </row>
    <row r="529" spans="1:4">
      <c r="A529" s="1" t="s">
        <v>25</v>
      </c>
      <c r="B529" s="14" t="s">
        <v>608</v>
      </c>
      <c r="C529" s="1" t="s">
        <v>561</v>
      </c>
      <c r="D529" s="13">
        <v>194</v>
      </c>
    </row>
    <row r="530" spans="1:4">
      <c r="A530" s="1" t="s">
        <v>30</v>
      </c>
      <c r="B530" s="11" t="s">
        <v>609</v>
      </c>
      <c r="C530" s="1" t="s">
        <v>562</v>
      </c>
      <c r="D530" s="15">
        <v>104</v>
      </c>
    </row>
    <row r="531" spans="1:4">
      <c r="A531" s="2"/>
      <c r="B531" s="2"/>
      <c r="C531" s="2"/>
      <c r="D531" s="16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7C7AB-97F6-45EE-883F-6E1C7D1E0BC1}">
  <dimension ref="A1:D527"/>
  <sheetViews>
    <sheetView workbookViewId="0">
      <selection activeCell="F6" sqref="F6"/>
    </sheetView>
  </sheetViews>
  <sheetFormatPr defaultRowHeight="16.149999999999999"/>
  <cols>
    <col min="1" max="2" width="8.73046875" style="3" customWidth="1"/>
    <col min="3" max="3" width="24.73046875" style="3" customWidth="1"/>
    <col min="4" max="4" width="7" style="3" customWidth="1"/>
  </cols>
  <sheetData>
    <row r="1" spans="1:4">
      <c r="A1" s="9" t="s">
        <v>16</v>
      </c>
      <c r="B1" s="9" t="s">
        <v>594</v>
      </c>
      <c r="C1" s="6" t="s">
        <v>40</v>
      </c>
      <c r="D1" s="17" t="s">
        <v>595</v>
      </c>
    </row>
    <row r="2" spans="1:4">
      <c r="A2" s="1" t="s">
        <v>17</v>
      </c>
      <c r="B2" s="18">
        <v>400144</v>
      </c>
      <c r="C2" s="5" t="s">
        <v>41</v>
      </c>
      <c r="D2" s="7">
        <v>313</v>
      </c>
    </row>
    <row r="3" spans="1:4">
      <c r="A3" s="1" t="s">
        <v>18</v>
      </c>
      <c r="B3" s="18">
        <v>140222</v>
      </c>
      <c r="C3" s="5" t="s">
        <v>42</v>
      </c>
      <c r="D3" s="7">
        <v>722</v>
      </c>
    </row>
    <row r="4" spans="1:4">
      <c r="A4" s="1" t="s">
        <v>19</v>
      </c>
      <c r="B4" s="19">
        <v>10301</v>
      </c>
      <c r="C4" s="5" t="s">
        <v>43</v>
      </c>
      <c r="D4" s="7">
        <v>1528</v>
      </c>
    </row>
    <row r="5" spans="1:4">
      <c r="A5" s="1" t="s">
        <v>19</v>
      </c>
      <c r="B5" s="19">
        <v>11301</v>
      </c>
      <c r="C5" s="5" t="s">
        <v>44</v>
      </c>
      <c r="D5" s="7">
        <v>998</v>
      </c>
    </row>
    <row r="6" spans="1:4">
      <c r="A6" s="1" t="s">
        <v>19</v>
      </c>
      <c r="B6" s="19">
        <v>11302</v>
      </c>
      <c r="C6" s="5" t="s">
        <v>45</v>
      </c>
      <c r="D6" s="7">
        <v>913</v>
      </c>
    </row>
    <row r="7" spans="1:4">
      <c r="A7" s="1" t="s">
        <v>19</v>
      </c>
      <c r="B7" s="19">
        <v>11306</v>
      </c>
      <c r="C7" s="5" t="s">
        <v>46</v>
      </c>
      <c r="D7" s="7">
        <v>665</v>
      </c>
    </row>
    <row r="8" spans="1:4">
      <c r="A8" s="1" t="s">
        <v>19</v>
      </c>
      <c r="B8" s="19">
        <v>11307</v>
      </c>
      <c r="C8" s="5" t="s">
        <v>47</v>
      </c>
      <c r="D8" s="7">
        <v>190</v>
      </c>
    </row>
    <row r="9" spans="1:4">
      <c r="A9" s="1" t="s">
        <v>19</v>
      </c>
      <c r="B9" s="19">
        <v>11309</v>
      </c>
      <c r="C9" s="5" t="s">
        <v>48</v>
      </c>
      <c r="D9" s="7">
        <v>1584</v>
      </c>
    </row>
    <row r="10" spans="1:4">
      <c r="A10" s="1" t="s">
        <v>19</v>
      </c>
      <c r="B10" s="19">
        <v>11310</v>
      </c>
      <c r="C10" s="5" t="s">
        <v>49</v>
      </c>
      <c r="D10" s="7">
        <v>927</v>
      </c>
    </row>
    <row r="11" spans="1:4">
      <c r="A11" s="1" t="s">
        <v>19</v>
      </c>
      <c r="B11" s="19">
        <v>11311</v>
      </c>
      <c r="C11" s="5" t="s">
        <v>50</v>
      </c>
      <c r="D11" s="7">
        <v>362</v>
      </c>
    </row>
    <row r="12" spans="1:4">
      <c r="A12" s="1" t="s">
        <v>19</v>
      </c>
      <c r="B12" s="19">
        <v>11312</v>
      </c>
      <c r="C12" s="5" t="s">
        <v>51</v>
      </c>
      <c r="D12" s="7">
        <v>128</v>
      </c>
    </row>
    <row r="13" spans="1:4">
      <c r="A13" s="1" t="s">
        <v>19</v>
      </c>
      <c r="B13" s="19">
        <v>11314</v>
      </c>
      <c r="C13" s="5" t="s">
        <v>52</v>
      </c>
      <c r="D13" s="7">
        <v>0</v>
      </c>
    </row>
    <row r="14" spans="1:4">
      <c r="A14" s="1" t="s">
        <v>19</v>
      </c>
      <c r="B14" s="19">
        <v>11315</v>
      </c>
      <c r="C14" s="5" t="s">
        <v>53</v>
      </c>
      <c r="D14" s="7">
        <v>589</v>
      </c>
    </row>
    <row r="15" spans="1:4">
      <c r="A15" s="1" t="s">
        <v>19</v>
      </c>
      <c r="B15" s="19">
        <v>11316</v>
      </c>
      <c r="C15" s="5" t="s">
        <v>54</v>
      </c>
      <c r="D15" s="7">
        <v>470</v>
      </c>
    </row>
    <row r="16" spans="1:4">
      <c r="A16" s="1" t="s">
        <v>19</v>
      </c>
      <c r="B16" s="19">
        <v>11317</v>
      </c>
      <c r="C16" s="5" t="s">
        <v>55</v>
      </c>
      <c r="D16" s="7">
        <v>799</v>
      </c>
    </row>
    <row r="17" spans="1:4">
      <c r="A17" s="1" t="s">
        <v>19</v>
      </c>
      <c r="B17" s="19">
        <v>11318</v>
      </c>
      <c r="C17" s="5" t="s">
        <v>56</v>
      </c>
      <c r="D17" s="7">
        <v>233</v>
      </c>
    </row>
    <row r="18" spans="1:4">
      <c r="A18" s="1" t="s">
        <v>19</v>
      </c>
      <c r="B18" s="19">
        <v>11322</v>
      </c>
      <c r="C18" s="5" t="s">
        <v>57</v>
      </c>
      <c r="D18" s="7">
        <v>511</v>
      </c>
    </row>
    <row r="19" spans="1:4">
      <c r="A19" s="1" t="s">
        <v>19</v>
      </c>
      <c r="B19" s="19">
        <v>11323</v>
      </c>
      <c r="C19" s="5" t="s">
        <v>58</v>
      </c>
      <c r="D19" s="7">
        <v>719</v>
      </c>
    </row>
    <row r="20" spans="1:4">
      <c r="A20" s="1" t="s">
        <v>19</v>
      </c>
      <c r="B20" s="19">
        <v>11324</v>
      </c>
      <c r="C20" s="5" t="s">
        <v>59</v>
      </c>
      <c r="D20" s="7">
        <v>1030</v>
      </c>
    </row>
    <row r="21" spans="1:4">
      <c r="A21" s="1" t="s">
        <v>19</v>
      </c>
      <c r="B21" s="19">
        <v>11325</v>
      </c>
      <c r="C21" s="5" t="s">
        <v>610</v>
      </c>
      <c r="D21" s="7">
        <v>176</v>
      </c>
    </row>
    <row r="22" spans="1:4">
      <c r="A22" s="1" t="s">
        <v>19</v>
      </c>
      <c r="B22" s="19">
        <v>11329</v>
      </c>
      <c r="C22" s="5" t="s">
        <v>61</v>
      </c>
      <c r="D22" s="7">
        <v>473</v>
      </c>
    </row>
    <row r="23" spans="1:4">
      <c r="A23" s="1" t="s">
        <v>19</v>
      </c>
      <c r="B23" s="19">
        <v>11330</v>
      </c>
      <c r="C23" s="5" t="s">
        <v>62</v>
      </c>
      <c r="D23" s="7">
        <v>611</v>
      </c>
    </row>
    <row r="24" spans="1:4">
      <c r="A24" s="1" t="s">
        <v>19</v>
      </c>
      <c r="B24" s="19">
        <v>11399</v>
      </c>
      <c r="C24" s="5" t="s">
        <v>63</v>
      </c>
      <c r="D24" s="7">
        <v>545</v>
      </c>
    </row>
    <row r="25" spans="1:4">
      <c r="A25" s="1" t="s">
        <v>19</v>
      </c>
      <c r="B25" s="19">
        <v>13303</v>
      </c>
      <c r="C25" s="5" t="s">
        <v>64</v>
      </c>
      <c r="D25" s="7">
        <v>2078</v>
      </c>
    </row>
    <row r="26" spans="1:4">
      <c r="A26" s="1" t="s">
        <v>19</v>
      </c>
      <c r="B26" s="19">
        <v>13304</v>
      </c>
      <c r="C26" s="5" t="s">
        <v>65</v>
      </c>
      <c r="D26" s="7">
        <v>2176</v>
      </c>
    </row>
    <row r="27" spans="1:4">
      <c r="A27" s="1" t="s">
        <v>19</v>
      </c>
      <c r="B27" s="19">
        <v>13335</v>
      </c>
      <c r="C27" s="5" t="s">
        <v>66</v>
      </c>
      <c r="D27" s="7">
        <v>1803</v>
      </c>
    </row>
    <row r="28" spans="1:4">
      <c r="A28" s="1" t="s">
        <v>19</v>
      </c>
      <c r="B28" s="19">
        <v>13336</v>
      </c>
      <c r="C28" s="5" t="s">
        <v>67</v>
      </c>
      <c r="D28" s="7">
        <v>1906</v>
      </c>
    </row>
    <row r="29" spans="1:4">
      <c r="A29" s="1" t="s">
        <v>19</v>
      </c>
      <c r="B29" s="19">
        <v>13337</v>
      </c>
      <c r="C29" s="5" t="s">
        <v>68</v>
      </c>
      <c r="D29" s="7">
        <v>2030</v>
      </c>
    </row>
    <row r="30" spans="1:4">
      <c r="A30" s="1" t="s">
        <v>19</v>
      </c>
      <c r="B30" s="19">
        <v>13338</v>
      </c>
      <c r="C30" s="5" t="s">
        <v>69</v>
      </c>
      <c r="D30" s="7">
        <v>1760</v>
      </c>
    </row>
    <row r="31" spans="1:4">
      <c r="A31" s="1" t="s">
        <v>19</v>
      </c>
      <c r="B31" s="19">
        <v>13339</v>
      </c>
      <c r="C31" s="5" t="s">
        <v>70</v>
      </c>
      <c r="D31" s="7">
        <v>1555</v>
      </c>
    </row>
    <row r="32" spans="1:4">
      <c r="A32" s="1" t="s">
        <v>19</v>
      </c>
      <c r="B32" s="19">
        <v>14302</v>
      </c>
      <c r="C32" s="5" t="s">
        <v>71</v>
      </c>
      <c r="D32" s="7">
        <v>1158</v>
      </c>
    </row>
    <row r="33" spans="1:4">
      <c r="A33" s="1" t="s">
        <v>19</v>
      </c>
      <c r="B33" s="19">
        <v>14311</v>
      </c>
      <c r="C33" s="5" t="s">
        <v>72</v>
      </c>
      <c r="D33" s="7">
        <v>1339</v>
      </c>
    </row>
    <row r="34" spans="1:4">
      <c r="A34" s="1" t="s">
        <v>19</v>
      </c>
      <c r="B34" s="19">
        <v>14315</v>
      </c>
      <c r="C34" s="5" t="s">
        <v>73</v>
      </c>
      <c r="D34" s="7">
        <v>1199</v>
      </c>
    </row>
    <row r="35" spans="1:4">
      <c r="A35" s="1" t="s">
        <v>19</v>
      </c>
      <c r="B35" s="19">
        <v>14322</v>
      </c>
      <c r="C35" s="5" t="s">
        <v>74</v>
      </c>
      <c r="D35" s="7">
        <v>1463</v>
      </c>
    </row>
    <row r="36" spans="1:4">
      <c r="A36" s="1" t="s">
        <v>19</v>
      </c>
      <c r="B36" s="19">
        <v>14326</v>
      </c>
      <c r="C36" s="5" t="s">
        <v>75</v>
      </c>
      <c r="D36" s="7">
        <v>1168</v>
      </c>
    </row>
    <row r="37" spans="1:4">
      <c r="A37" s="1" t="s">
        <v>19</v>
      </c>
      <c r="B37" s="19">
        <v>14332</v>
      </c>
      <c r="C37" s="5" t="s">
        <v>76</v>
      </c>
      <c r="D37" s="7">
        <v>928</v>
      </c>
    </row>
    <row r="38" spans="1:4">
      <c r="A38" s="1" t="s">
        <v>19</v>
      </c>
      <c r="B38" s="19">
        <v>14338</v>
      </c>
      <c r="C38" s="5" t="s">
        <v>77</v>
      </c>
      <c r="D38" s="7">
        <v>283</v>
      </c>
    </row>
    <row r="39" spans="1:4">
      <c r="A39" s="1" t="s">
        <v>19</v>
      </c>
      <c r="B39" s="19">
        <v>14343</v>
      </c>
      <c r="C39" s="5" t="s">
        <v>78</v>
      </c>
      <c r="D39" s="7">
        <v>990</v>
      </c>
    </row>
    <row r="40" spans="1:4">
      <c r="A40" s="1" t="s">
        <v>19</v>
      </c>
      <c r="B40" s="19">
        <v>14347</v>
      </c>
      <c r="C40" s="5" t="s">
        <v>79</v>
      </c>
      <c r="D40" s="7">
        <v>210</v>
      </c>
    </row>
    <row r="41" spans="1:4">
      <c r="A41" s="1" t="s">
        <v>19</v>
      </c>
      <c r="B41" s="19">
        <v>14348</v>
      </c>
      <c r="C41" s="5" t="s">
        <v>80</v>
      </c>
      <c r="D41" s="7">
        <v>457</v>
      </c>
    </row>
    <row r="42" spans="1:4">
      <c r="A42" s="1" t="s">
        <v>19</v>
      </c>
      <c r="B42" s="19">
        <v>14353</v>
      </c>
      <c r="C42" s="5" t="s">
        <v>81</v>
      </c>
      <c r="D42" s="7">
        <v>1015</v>
      </c>
    </row>
    <row r="43" spans="1:4">
      <c r="A43" s="1" t="s">
        <v>19</v>
      </c>
      <c r="B43" s="19">
        <v>14356</v>
      </c>
      <c r="C43" s="5" t="s">
        <v>82</v>
      </c>
      <c r="D43" s="7">
        <v>1332</v>
      </c>
    </row>
    <row r="44" spans="1:4">
      <c r="A44" s="1" t="s">
        <v>19</v>
      </c>
      <c r="B44" s="19">
        <v>14357</v>
      </c>
      <c r="C44" s="5" t="s">
        <v>83</v>
      </c>
      <c r="D44" s="7">
        <v>1440</v>
      </c>
    </row>
    <row r="45" spans="1:4">
      <c r="A45" s="1" t="s">
        <v>19</v>
      </c>
      <c r="B45" s="19">
        <v>14362</v>
      </c>
      <c r="C45" s="5" t="s">
        <v>84</v>
      </c>
      <c r="D45" s="7">
        <v>1032</v>
      </c>
    </row>
    <row r="46" spans="1:4">
      <c r="A46" s="1" t="s">
        <v>19</v>
      </c>
      <c r="B46" s="19">
        <v>14363</v>
      </c>
      <c r="C46" s="5" t="s">
        <v>85</v>
      </c>
      <c r="D46" s="7">
        <v>709</v>
      </c>
    </row>
    <row r="47" spans="1:4">
      <c r="A47" s="1" t="s">
        <v>19</v>
      </c>
      <c r="B47" s="19">
        <v>14364</v>
      </c>
      <c r="C47" s="5" t="s">
        <v>86</v>
      </c>
      <c r="D47" s="7">
        <v>777</v>
      </c>
    </row>
    <row r="48" spans="1:4">
      <c r="A48" s="1" t="s">
        <v>19</v>
      </c>
      <c r="B48" s="19">
        <v>14381</v>
      </c>
      <c r="C48" s="5" t="s">
        <v>87</v>
      </c>
      <c r="D48" s="7">
        <v>662</v>
      </c>
    </row>
    <row r="49" spans="1:4">
      <c r="A49" s="1" t="s">
        <v>19</v>
      </c>
      <c r="B49" s="19">
        <v>14399</v>
      </c>
      <c r="C49" s="5" t="s">
        <v>88</v>
      </c>
      <c r="D49" s="7">
        <v>5</v>
      </c>
    </row>
    <row r="50" spans="1:4">
      <c r="A50" s="1" t="s">
        <v>20</v>
      </c>
      <c r="B50" s="19">
        <v>20301</v>
      </c>
      <c r="C50" s="5" t="s">
        <v>89</v>
      </c>
      <c r="D50" s="7">
        <v>1392</v>
      </c>
    </row>
    <row r="51" spans="1:4">
      <c r="A51" s="1" t="s">
        <v>20</v>
      </c>
      <c r="B51" s="19">
        <v>20302</v>
      </c>
      <c r="C51" s="5" t="s">
        <v>90</v>
      </c>
      <c r="D51" s="7">
        <v>1387</v>
      </c>
    </row>
    <row r="52" spans="1:4">
      <c r="A52" s="1" t="s">
        <v>20</v>
      </c>
      <c r="B52" s="19">
        <v>20308</v>
      </c>
      <c r="C52" s="5" t="s">
        <v>91</v>
      </c>
      <c r="D52" s="7">
        <v>1295</v>
      </c>
    </row>
    <row r="53" spans="1:4">
      <c r="A53" s="1" t="s">
        <v>20</v>
      </c>
      <c r="B53" s="19">
        <v>21301</v>
      </c>
      <c r="C53" s="5" t="s">
        <v>92</v>
      </c>
      <c r="D53" s="7">
        <v>609</v>
      </c>
    </row>
    <row r="54" spans="1:4">
      <c r="A54" s="1" t="s">
        <v>20</v>
      </c>
      <c r="B54" s="19">
        <v>21310</v>
      </c>
      <c r="C54" s="5" t="s">
        <v>93</v>
      </c>
      <c r="D54" s="7">
        <v>221</v>
      </c>
    </row>
    <row r="55" spans="1:4">
      <c r="A55" s="1" t="s">
        <v>20</v>
      </c>
      <c r="B55" s="19">
        <v>24322</v>
      </c>
      <c r="C55" s="5" t="s">
        <v>94</v>
      </c>
      <c r="D55" s="7">
        <v>134</v>
      </c>
    </row>
    <row r="56" spans="1:4">
      <c r="A56" s="1" t="s">
        <v>20</v>
      </c>
      <c r="B56" s="19">
        <v>24325</v>
      </c>
      <c r="C56" s="5" t="s">
        <v>95</v>
      </c>
      <c r="D56" s="7">
        <v>179</v>
      </c>
    </row>
    <row r="57" spans="1:4">
      <c r="A57" s="1" t="s">
        <v>21</v>
      </c>
      <c r="B57" s="19">
        <v>30305</v>
      </c>
      <c r="C57" s="5" t="s">
        <v>96</v>
      </c>
      <c r="D57" s="7">
        <v>2125</v>
      </c>
    </row>
    <row r="58" spans="1:4">
      <c r="A58" s="1" t="s">
        <v>21</v>
      </c>
      <c r="B58" s="19">
        <v>31301</v>
      </c>
      <c r="C58" s="5" t="s">
        <v>611</v>
      </c>
      <c r="D58" s="7">
        <v>0</v>
      </c>
    </row>
    <row r="59" spans="1:4">
      <c r="A59" s="1" t="s">
        <v>21</v>
      </c>
      <c r="B59" s="19">
        <v>31309</v>
      </c>
      <c r="C59" s="5" t="s">
        <v>98</v>
      </c>
      <c r="D59" s="7">
        <v>4924</v>
      </c>
    </row>
    <row r="60" spans="1:4">
      <c r="A60" s="1" t="s">
        <v>21</v>
      </c>
      <c r="B60" s="19">
        <v>31310</v>
      </c>
      <c r="C60" s="5" t="s">
        <v>99</v>
      </c>
      <c r="D60" s="7">
        <v>1295</v>
      </c>
    </row>
    <row r="61" spans="1:4">
      <c r="A61" s="1" t="s">
        <v>21</v>
      </c>
      <c r="B61" s="19">
        <v>31311</v>
      </c>
      <c r="C61" s="5" t="s">
        <v>100</v>
      </c>
      <c r="D61" s="7">
        <v>1700</v>
      </c>
    </row>
    <row r="62" spans="1:4">
      <c r="A62" s="1" t="s">
        <v>21</v>
      </c>
      <c r="B62" s="19">
        <v>31312</v>
      </c>
      <c r="C62" s="5" t="s">
        <v>101</v>
      </c>
      <c r="D62" s="7">
        <v>2983</v>
      </c>
    </row>
    <row r="63" spans="1:4">
      <c r="A63" s="1" t="s">
        <v>21</v>
      </c>
      <c r="B63" s="19">
        <v>31313</v>
      </c>
      <c r="C63" s="5" t="s">
        <v>102</v>
      </c>
      <c r="D63" s="7">
        <v>3010</v>
      </c>
    </row>
    <row r="64" spans="1:4">
      <c r="A64" s="1" t="s">
        <v>21</v>
      </c>
      <c r="B64" s="19">
        <v>31317</v>
      </c>
      <c r="C64" s="5" t="s">
        <v>103</v>
      </c>
      <c r="D64" s="7">
        <v>666</v>
      </c>
    </row>
    <row r="65" spans="1:4">
      <c r="A65" s="1" t="s">
        <v>21</v>
      </c>
      <c r="B65" s="19">
        <v>31318</v>
      </c>
      <c r="C65" s="5" t="s">
        <v>104</v>
      </c>
      <c r="D65" s="7">
        <v>4055</v>
      </c>
    </row>
    <row r="66" spans="1:4">
      <c r="A66" s="1" t="s">
        <v>21</v>
      </c>
      <c r="B66" s="19">
        <v>31319</v>
      </c>
      <c r="C66" s="5" t="s">
        <v>105</v>
      </c>
      <c r="D66" s="7">
        <v>276</v>
      </c>
    </row>
    <row r="67" spans="1:4">
      <c r="A67" s="1" t="s">
        <v>21</v>
      </c>
      <c r="B67" s="19">
        <v>31320</v>
      </c>
      <c r="C67" s="5" t="s">
        <v>106</v>
      </c>
      <c r="D67" s="7">
        <v>5142</v>
      </c>
    </row>
    <row r="68" spans="1:4">
      <c r="A68" s="1" t="s">
        <v>21</v>
      </c>
      <c r="B68" s="19">
        <v>31323</v>
      </c>
      <c r="C68" s="5" t="s">
        <v>107</v>
      </c>
      <c r="D68" s="7">
        <v>238</v>
      </c>
    </row>
    <row r="69" spans="1:4">
      <c r="A69" s="1" t="s">
        <v>21</v>
      </c>
      <c r="B69" s="19">
        <v>31324</v>
      </c>
      <c r="C69" s="5" t="s">
        <v>108</v>
      </c>
      <c r="D69" s="7">
        <v>1206</v>
      </c>
    </row>
    <row r="70" spans="1:4">
      <c r="A70" s="1" t="s">
        <v>21</v>
      </c>
      <c r="B70" s="19">
        <v>31326</v>
      </c>
      <c r="C70" s="5" t="s">
        <v>109</v>
      </c>
      <c r="D70" s="7">
        <v>321</v>
      </c>
    </row>
    <row r="71" spans="1:4">
      <c r="A71" s="1" t="s">
        <v>21</v>
      </c>
      <c r="B71" s="19">
        <v>33302</v>
      </c>
      <c r="C71" s="5" t="s">
        <v>110</v>
      </c>
      <c r="D71" s="7">
        <v>1337</v>
      </c>
    </row>
    <row r="72" spans="1:4">
      <c r="A72" s="1" t="s">
        <v>21</v>
      </c>
      <c r="B72" s="19">
        <v>33304</v>
      </c>
      <c r="C72" s="5" t="s">
        <v>111</v>
      </c>
      <c r="D72" s="7">
        <v>2308</v>
      </c>
    </row>
    <row r="73" spans="1:4">
      <c r="A73" s="1" t="s">
        <v>21</v>
      </c>
      <c r="B73" s="19">
        <v>33306</v>
      </c>
      <c r="C73" s="5" t="s">
        <v>112</v>
      </c>
      <c r="D73" s="7">
        <v>2227</v>
      </c>
    </row>
    <row r="74" spans="1:4">
      <c r="A74" s="1" t="s">
        <v>21</v>
      </c>
      <c r="B74" s="19">
        <v>33316</v>
      </c>
      <c r="C74" s="5" t="s">
        <v>113</v>
      </c>
      <c r="D74" s="7">
        <v>1744</v>
      </c>
    </row>
    <row r="75" spans="1:4">
      <c r="A75" s="1" t="s">
        <v>21</v>
      </c>
      <c r="B75" s="19">
        <v>33325</v>
      </c>
      <c r="C75" s="5" t="s">
        <v>114</v>
      </c>
      <c r="D75" s="7">
        <v>2096</v>
      </c>
    </row>
    <row r="76" spans="1:4">
      <c r="A76" s="1" t="s">
        <v>21</v>
      </c>
      <c r="B76" s="19">
        <v>33327</v>
      </c>
      <c r="C76" s="5" t="s">
        <v>115</v>
      </c>
      <c r="D76" s="7">
        <v>2021</v>
      </c>
    </row>
    <row r="77" spans="1:4">
      <c r="A77" s="1" t="s">
        <v>21</v>
      </c>
      <c r="B77" s="19">
        <v>34306</v>
      </c>
      <c r="C77" s="5" t="s">
        <v>116</v>
      </c>
      <c r="D77" s="7">
        <v>1396</v>
      </c>
    </row>
    <row r="78" spans="1:4">
      <c r="A78" s="1" t="s">
        <v>21</v>
      </c>
      <c r="B78" s="19">
        <v>34312</v>
      </c>
      <c r="C78" s="5" t="s">
        <v>117</v>
      </c>
      <c r="D78" s="7">
        <v>1133</v>
      </c>
    </row>
    <row r="79" spans="1:4">
      <c r="A79" s="1" t="s">
        <v>21</v>
      </c>
      <c r="B79" s="19">
        <v>34314</v>
      </c>
      <c r="C79" s="5" t="s">
        <v>118</v>
      </c>
      <c r="D79" s="7">
        <v>1935</v>
      </c>
    </row>
    <row r="80" spans="1:4">
      <c r="A80" s="1" t="s">
        <v>21</v>
      </c>
      <c r="B80" s="19">
        <v>34319</v>
      </c>
      <c r="C80" s="5" t="s">
        <v>119</v>
      </c>
      <c r="D80" s="7">
        <v>1632</v>
      </c>
    </row>
    <row r="81" spans="1:4">
      <c r="A81" s="1" t="s">
        <v>21</v>
      </c>
      <c r="B81" s="19">
        <v>34332</v>
      </c>
      <c r="C81" s="5" t="s">
        <v>120</v>
      </c>
      <c r="D81" s="7">
        <v>889</v>
      </c>
    </row>
    <row r="82" spans="1:4">
      <c r="A82" s="1" t="s">
        <v>21</v>
      </c>
      <c r="B82" s="19">
        <v>34335</v>
      </c>
      <c r="C82" s="5" t="s">
        <v>121</v>
      </c>
      <c r="D82" s="7">
        <v>619</v>
      </c>
    </row>
    <row r="83" spans="1:4">
      <c r="A83" s="1" t="s">
        <v>21</v>
      </c>
      <c r="B83" s="19">
        <v>34347</v>
      </c>
      <c r="C83" s="5" t="s">
        <v>122</v>
      </c>
      <c r="D83" s="7">
        <v>1334</v>
      </c>
    </row>
    <row r="84" spans="1:4">
      <c r="A84" s="1" t="s">
        <v>21</v>
      </c>
      <c r="B84" s="19">
        <v>34348</v>
      </c>
      <c r="C84" s="5" t="s">
        <v>123</v>
      </c>
      <c r="D84" s="7">
        <v>181</v>
      </c>
    </row>
    <row r="85" spans="1:4">
      <c r="A85" s="1" t="s">
        <v>21</v>
      </c>
      <c r="B85" s="19">
        <v>34399</v>
      </c>
      <c r="C85" s="5" t="s">
        <v>124</v>
      </c>
      <c r="D85" s="7">
        <v>1433</v>
      </c>
    </row>
    <row r="86" spans="1:4">
      <c r="A86" s="1" t="s">
        <v>22</v>
      </c>
      <c r="B86" s="19">
        <v>40302</v>
      </c>
      <c r="C86" s="5" t="s">
        <v>125</v>
      </c>
      <c r="D86" s="7">
        <v>1495</v>
      </c>
    </row>
    <row r="87" spans="1:4">
      <c r="A87" s="1" t="s">
        <v>22</v>
      </c>
      <c r="B87" s="19">
        <v>40304</v>
      </c>
      <c r="C87" s="5" t="s">
        <v>126</v>
      </c>
      <c r="D87" s="7">
        <v>881</v>
      </c>
    </row>
    <row r="88" spans="1:4">
      <c r="A88" s="1" t="s">
        <v>22</v>
      </c>
      <c r="B88" s="19">
        <v>40308</v>
      </c>
      <c r="C88" s="5" t="s">
        <v>127</v>
      </c>
      <c r="D88" s="7">
        <v>1890</v>
      </c>
    </row>
    <row r="89" spans="1:4">
      <c r="A89" s="1" t="s">
        <v>22</v>
      </c>
      <c r="B89" s="19">
        <v>41303</v>
      </c>
      <c r="C89" s="5" t="s">
        <v>128</v>
      </c>
      <c r="D89" s="7">
        <v>1879</v>
      </c>
    </row>
    <row r="90" spans="1:4">
      <c r="A90" s="1" t="s">
        <v>22</v>
      </c>
      <c r="B90" s="19">
        <v>41305</v>
      </c>
      <c r="C90" s="5" t="s">
        <v>129</v>
      </c>
      <c r="D90" s="7">
        <v>755</v>
      </c>
    </row>
    <row r="91" spans="1:4">
      <c r="A91" s="1" t="s">
        <v>22</v>
      </c>
      <c r="B91" s="19">
        <v>41306</v>
      </c>
      <c r="C91" s="5" t="s">
        <v>130</v>
      </c>
      <c r="D91" s="7">
        <v>1612</v>
      </c>
    </row>
    <row r="92" spans="1:4">
      <c r="A92" s="1" t="s">
        <v>22</v>
      </c>
      <c r="B92" s="19">
        <v>41307</v>
      </c>
      <c r="C92" s="5" t="s">
        <v>131</v>
      </c>
      <c r="D92" s="7">
        <v>1350</v>
      </c>
    </row>
    <row r="93" spans="1:4">
      <c r="A93" s="1" t="s">
        <v>22</v>
      </c>
      <c r="B93" s="19">
        <v>44311</v>
      </c>
      <c r="C93" s="5" t="s">
        <v>132</v>
      </c>
      <c r="D93" s="7">
        <v>864</v>
      </c>
    </row>
    <row r="94" spans="1:4">
      <c r="A94" s="1" t="s">
        <v>22</v>
      </c>
      <c r="B94" s="19">
        <v>44320</v>
      </c>
      <c r="C94" s="5" t="s">
        <v>133</v>
      </c>
      <c r="D94" s="7">
        <v>632</v>
      </c>
    </row>
    <row r="95" spans="1:4">
      <c r="A95" s="1" t="s">
        <v>23</v>
      </c>
      <c r="B95" s="19">
        <v>50303</v>
      </c>
      <c r="C95" s="5" t="s">
        <v>134</v>
      </c>
      <c r="D95" s="7">
        <v>1359</v>
      </c>
    </row>
    <row r="96" spans="1:4">
      <c r="A96" s="1" t="s">
        <v>23</v>
      </c>
      <c r="B96" s="19">
        <v>50310</v>
      </c>
      <c r="C96" s="5" t="s">
        <v>135</v>
      </c>
      <c r="D96" s="7">
        <v>1508</v>
      </c>
    </row>
    <row r="97" spans="1:4">
      <c r="A97" s="1" t="s">
        <v>23</v>
      </c>
      <c r="B97" s="19">
        <v>50314</v>
      </c>
      <c r="C97" s="5" t="s">
        <v>136</v>
      </c>
      <c r="D97" s="7">
        <v>584</v>
      </c>
    </row>
    <row r="98" spans="1:4">
      <c r="A98" s="1" t="s">
        <v>23</v>
      </c>
      <c r="B98" s="19">
        <v>50315</v>
      </c>
      <c r="C98" s="5" t="s">
        <v>137</v>
      </c>
      <c r="D98" s="7">
        <v>1108</v>
      </c>
    </row>
    <row r="99" spans="1:4">
      <c r="A99" s="1" t="s">
        <v>23</v>
      </c>
      <c r="B99" s="19">
        <v>51302</v>
      </c>
      <c r="C99" s="5" t="s">
        <v>138</v>
      </c>
      <c r="D99" s="7">
        <v>1315</v>
      </c>
    </row>
    <row r="100" spans="1:4">
      <c r="A100" s="1" t="s">
        <v>23</v>
      </c>
      <c r="B100" s="19">
        <v>51306</v>
      </c>
      <c r="C100" s="5" t="s">
        <v>140</v>
      </c>
      <c r="D100" s="7">
        <v>459</v>
      </c>
    </row>
    <row r="101" spans="1:4">
      <c r="A101" s="1" t="s">
        <v>23</v>
      </c>
      <c r="B101" s="19">
        <v>51307</v>
      </c>
      <c r="C101" s="5" t="s">
        <v>141</v>
      </c>
      <c r="D101" s="7">
        <v>23</v>
      </c>
    </row>
    <row r="102" spans="1:4">
      <c r="A102" s="1" t="s">
        <v>23</v>
      </c>
      <c r="B102" s="19">
        <v>54308</v>
      </c>
      <c r="C102" s="5" t="s">
        <v>142</v>
      </c>
      <c r="D102" s="7">
        <v>277</v>
      </c>
    </row>
    <row r="103" spans="1:4">
      <c r="A103" s="1" t="s">
        <v>23</v>
      </c>
      <c r="B103" s="19">
        <v>54309</v>
      </c>
      <c r="C103" s="5" t="s">
        <v>143</v>
      </c>
      <c r="D103" s="7">
        <v>579</v>
      </c>
    </row>
    <row r="104" spans="1:4">
      <c r="A104" s="1" t="s">
        <v>23</v>
      </c>
      <c r="B104" s="19">
        <v>54317</v>
      </c>
      <c r="C104" s="5" t="s">
        <v>144</v>
      </c>
      <c r="D104" s="7">
        <v>694</v>
      </c>
    </row>
    <row r="105" spans="1:4">
      <c r="A105" s="1" t="s">
        <v>23</v>
      </c>
      <c r="B105" s="19">
        <v>54333</v>
      </c>
      <c r="C105" s="5" t="s">
        <v>145</v>
      </c>
      <c r="D105" s="7">
        <v>472</v>
      </c>
    </row>
    <row r="106" spans="1:4">
      <c r="A106" s="1" t="s">
        <v>24</v>
      </c>
      <c r="B106" s="19">
        <v>60322</v>
      </c>
      <c r="C106" s="5" t="s">
        <v>146</v>
      </c>
      <c r="D106" s="7">
        <v>1509</v>
      </c>
    </row>
    <row r="107" spans="1:4">
      <c r="A107" s="1" t="s">
        <v>24</v>
      </c>
      <c r="B107" s="19">
        <v>60323</v>
      </c>
      <c r="C107" s="5" t="s">
        <v>147</v>
      </c>
      <c r="D107" s="7">
        <v>421</v>
      </c>
    </row>
    <row r="108" spans="1:4">
      <c r="A108" s="1" t="s">
        <v>24</v>
      </c>
      <c r="B108" s="19">
        <v>61301</v>
      </c>
      <c r="C108" s="5" t="s">
        <v>148</v>
      </c>
      <c r="D108" s="7">
        <v>501</v>
      </c>
    </row>
    <row r="109" spans="1:4">
      <c r="A109" s="1" t="s">
        <v>24</v>
      </c>
      <c r="B109" s="19">
        <v>61306</v>
      </c>
      <c r="C109" s="5" t="s">
        <v>149</v>
      </c>
      <c r="D109" s="7">
        <v>1361</v>
      </c>
    </row>
    <row r="110" spans="1:4">
      <c r="A110" s="1" t="s">
        <v>24</v>
      </c>
      <c r="B110" s="19">
        <v>61309</v>
      </c>
      <c r="C110" s="5" t="s">
        <v>150</v>
      </c>
      <c r="D110" s="7">
        <v>1521</v>
      </c>
    </row>
    <row r="111" spans="1:4">
      <c r="A111" s="1" t="s">
        <v>24</v>
      </c>
      <c r="B111" s="19">
        <v>61310</v>
      </c>
      <c r="C111" s="5" t="s">
        <v>151</v>
      </c>
      <c r="D111" s="7">
        <v>807</v>
      </c>
    </row>
    <row r="112" spans="1:4">
      <c r="A112" s="1" t="s">
        <v>24</v>
      </c>
      <c r="B112" s="19">
        <v>61311</v>
      </c>
      <c r="C112" s="5" t="s">
        <v>152</v>
      </c>
      <c r="D112" s="7">
        <v>250</v>
      </c>
    </row>
    <row r="113" spans="1:4">
      <c r="A113" s="1" t="s">
        <v>24</v>
      </c>
      <c r="B113" s="19">
        <v>61313</v>
      </c>
      <c r="C113" s="5" t="s">
        <v>153</v>
      </c>
      <c r="D113" s="7">
        <v>4234</v>
      </c>
    </row>
    <row r="114" spans="1:4">
      <c r="A114" s="1" t="s">
        <v>24</v>
      </c>
      <c r="B114" s="19">
        <v>61314</v>
      </c>
      <c r="C114" s="5" t="s">
        <v>154</v>
      </c>
      <c r="D114" s="7">
        <v>5446</v>
      </c>
    </row>
    <row r="115" spans="1:4">
      <c r="A115" s="1" t="s">
        <v>24</v>
      </c>
      <c r="B115" s="19">
        <v>61315</v>
      </c>
      <c r="C115" s="5" t="s">
        <v>155</v>
      </c>
      <c r="D115" s="7">
        <v>1061</v>
      </c>
    </row>
    <row r="116" spans="1:4">
      <c r="A116" s="1" t="s">
        <v>24</v>
      </c>
      <c r="B116" s="19">
        <v>61316</v>
      </c>
      <c r="C116" s="5" t="s">
        <v>156</v>
      </c>
      <c r="D116" s="7">
        <v>2292</v>
      </c>
    </row>
    <row r="117" spans="1:4">
      <c r="A117" s="1" t="s">
        <v>24</v>
      </c>
      <c r="B117" s="19">
        <v>61317</v>
      </c>
      <c r="C117" s="5" t="s">
        <v>157</v>
      </c>
      <c r="D117" s="7">
        <v>1576</v>
      </c>
    </row>
    <row r="118" spans="1:4">
      <c r="A118" s="1" t="s">
        <v>24</v>
      </c>
      <c r="B118" s="19">
        <v>61318</v>
      </c>
      <c r="C118" s="5" t="s">
        <v>158</v>
      </c>
      <c r="D118" s="7">
        <v>2218</v>
      </c>
    </row>
    <row r="119" spans="1:4">
      <c r="A119" s="1" t="s">
        <v>24</v>
      </c>
      <c r="B119" s="19">
        <v>61319</v>
      </c>
      <c r="C119" s="5" t="s">
        <v>159</v>
      </c>
      <c r="D119" s="7">
        <v>451</v>
      </c>
    </row>
    <row r="120" spans="1:4">
      <c r="A120" s="1" t="s">
        <v>24</v>
      </c>
      <c r="B120" s="19">
        <v>61321</v>
      </c>
      <c r="C120" s="5" t="s">
        <v>160</v>
      </c>
      <c r="D120" s="7">
        <v>2121</v>
      </c>
    </row>
    <row r="121" spans="1:4">
      <c r="A121" s="1" t="s">
        <v>24</v>
      </c>
      <c r="B121" s="19">
        <v>61322</v>
      </c>
      <c r="C121" s="5" t="s">
        <v>161</v>
      </c>
      <c r="D121" s="7">
        <v>29</v>
      </c>
    </row>
    <row r="122" spans="1:4">
      <c r="A122" s="1" t="s">
        <v>24</v>
      </c>
      <c r="B122" s="19">
        <v>61323</v>
      </c>
      <c r="C122" s="5" t="s">
        <v>612</v>
      </c>
      <c r="D122" s="7">
        <v>9</v>
      </c>
    </row>
    <row r="123" spans="1:4">
      <c r="A123" s="1" t="s">
        <v>24</v>
      </c>
      <c r="B123" s="19">
        <v>63303</v>
      </c>
      <c r="C123" s="5" t="s">
        <v>162</v>
      </c>
      <c r="D123" s="7">
        <v>1406</v>
      </c>
    </row>
    <row r="124" spans="1:4">
      <c r="A124" s="1" t="s">
        <v>24</v>
      </c>
      <c r="B124" s="19">
        <v>63305</v>
      </c>
      <c r="C124" s="5" t="s">
        <v>82</v>
      </c>
      <c r="D124" s="7">
        <v>1422</v>
      </c>
    </row>
    <row r="125" spans="1:4">
      <c r="A125" s="1" t="s">
        <v>24</v>
      </c>
      <c r="B125" s="19">
        <v>63312</v>
      </c>
      <c r="C125" s="5" t="s">
        <v>163</v>
      </c>
      <c r="D125" s="7">
        <v>1511</v>
      </c>
    </row>
    <row r="126" spans="1:4">
      <c r="A126" s="1" t="s">
        <v>24</v>
      </c>
      <c r="B126" s="19">
        <v>64308</v>
      </c>
      <c r="C126" s="5" t="s">
        <v>164</v>
      </c>
      <c r="D126" s="7">
        <v>918</v>
      </c>
    </row>
    <row r="127" spans="1:4">
      <c r="A127" s="1" t="s">
        <v>24</v>
      </c>
      <c r="B127" s="19">
        <v>64324</v>
      </c>
      <c r="C127" s="5" t="s">
        <v>165</v>
      </c>
      <c r="D127" s="7">
        <v>749</v>
      </c>
    </row>
    <row r="128" spans="1:4">
      <c r="A128" s="1" t="s">
        <v>24</v>
      </c>
      <c r="B128" s="19">
        <v>64328</v>
      </c>
      <c r="C128" s="5" t="s">
        <v>166</v>
      </c>
      <c r="D128" s="7">
        <v>883</v>
      </c>
    </row>
    <row r="129" spans="1:4">
      <c r="A129" s="1" t="s">
        <v>24</v>
      </c>
      <c r="B129" s="19">
        <v>64336</v>
      </c>
      <c r="C129" s="5" t="s">
        <v>167</v>
      </c>
      <c r="D129" s="7">
        <v>772</v>
      </c>
    </row>
    <row r="130" spans="1:4">
      <c r="A130" s="1" t="s">
        <v>24</v>
      </c>
      <c r="B130" s="19">
        <v>64342</v>
      </c>
      <c r="C130" s="5" t="s">
        <v>168</v>
      </c>
      <c r="D130" s="7">
        <v>697</v>
      </c>
    </row>
    <row r="131" spans="1:4">
      <c r="A131" s="1" t="s">
        <v>24</v>
      </c>
      <c r="B131" s="19">
        <v>64350</v>
      </c>
      <c r="C131" s="5" t="s">
        <v>169</v>
      </c>
      <c r="D131" s="7">
        <v>491</v>
      </c>
    </row>
    <row r="132" spans="1:4">
      <c r="A132" s="1" t="s">
        <v>25</v>
      </c>
      <c r="B132" s="19">
        <v>70301</v>
      </c>
      <c r="C132" s="5" t="s">
        <v>170</v>
      </c>
      <c r="D132" s="7">
        <v>1560</v>
      </c>
    </row>
    <row r="133" spans="1:4">
      <c r="A133" s="1" t="s">
        <v>25</v>
      </c>
      <c r="B133" s="19">
        <v>70304</v>
      </c>
      <c r="C133" s="5" t="s">
        <v>171</v>
      </c>
      <c r="D133" s="7">
        <v>1730</v>
      </c>
    </row>
    <row r="134" spans="1:4">
      <c r="A134" s="1" t="s">
        <v>25</v>
      </c>
      <c r="B134" s="19">
        <v>70307</v>
      </c>
      <c r="C134" s="5" t="s">
        <v>172</v>
      </c>
      <c r="D134" s="7">
        <v>2090</v>
      </c>
    </row>
    <row r="135" spans="1:4">
      <c r="A135" s="1" t="s">
        <v>25</v>
      </c>
      <c r="B135" s="19">
        <v>70316</v>
      </c>
      <c r="C135" s="5" t="s">
        <v>173</v>
      </c>
      <c r="D135" s="7">
        <v>1332</v>
      </c>
    </row>
    <row r="136" spans="1:4">
      <c r="A136" s="1" t="s">
        <v>25</v>
      </c>
      <c r="B136" s="19">
        <v>70319</v>
      </c>
      <c r="C136" s="5" t="s">
        <v>174</v>
      </c>
      <c r="D136" s="7">
        <v>1550</v>
      </c>
    </row>
    <row r="137" spans="1:4">
      <c r="A137" s="1" t="s">
        <v>25</v>
      </c>
      <c r="B137" s="19">
        <v>71311</v>
      </c>
      <c r="C137" s="5" t="s">
        <v>175</v>
      </c>
      <c r="D137" s="7">
        <v>1408</v>
      </c>
    </row>
    <row r="138" spans="1:4">
      <c r="A138" s="1" t="s">
        <v>25</v>
      </c>
      <c r="B138" s="19">
        <v>71317</v>
      </c>
      <c r="C138" s="5" t="s">
        <v>176</v>
      </c>
      <c r="D138" s="7">
        <v>427</v>
      </c>
    </row>
    <row r="139" spans="1:4">
      <c r="A139" s="1" t="s">
        <v>25</v>
      </c>
      <c r="B139" s="19">
        <v>71318</v>
      </c>
      <c r="C139" s="5" t="s">
        <v>177</v>
      </c>
      <c r="D139" s="7">
        <v>252</v>
      </c>
    </row>
    <row r="140" spans="1:4">
      <c r="A140" s="1" t="s">
        <v>25</v>
      </c>
      <c r="B140" s="19">
        <v>74308</v>
      </c>
      <c r="C140" s="5" t="s">
        <v>178</v>
      </c>
      <c r="D140" s="7">
        <v>678</v>
      </c>
    </row>
    <row r="141" spans="1:4">
      <c r="A141" s="1" t="s">
        <v>25</v>
      </c>
      <c r="B141" s="19">
        <v>74313</v>
      </c>
      <c r="C141" s="5" t="s">
        <v>179</v>
      </c>
      <c r="D141" s="7">
        <v>304</v>
      </c>
    </row>
    <row r="142" spans="1:4">
      <c r="A142" s="1" t="s">
        <v>25</v>
      </c>
      <c r="B142" s="19">
        <v>74323</v>
      </c>
      <c r="C142" s="5" t="s">
        <v>180</v>
      </c>
      <c r="D142" s="7">
        <v>572</v>
      </c>
    </row>
    <row r="143" spans="1:4">
      <c r="A143" s="1" t="s">
        <v>25</v>
      </c>
      <c r="B143" s="19">
        <v>74328</v>
      </c>
      <c r="C143" s="5" t="s">
        <v>181</v>
      </c>
      <c r="D143" s="7">
        <v>255</v>
      </c>
    </row>
    <row r="144" spans="1:4">
      <c r="A144" s="1" t="s">
        <v>25</v>
      </c>
      <c r="B144" s="19">
        <v>74339</v>
      </c>
      <c r="C144" s="5" t="s">
        <v>182</v>
      </c>
      <c r="D144" s="7">
        <v>358</v>
      </c>
    </row>
    <row r="145" spans="1:4">
      <c r="A145" s="1" t="s">
        <v>26</v>
      </c>
      <c r="B145" s="19">
        <v>80302</v>
      </c>
      <c r="C145" s="5" t="s">
        <v>183</v>
      </c>
      <c r="D145" s="7">
        <v>1321</v>
      </c>
    </row>
    <row r="146" spans="1:4">
      <c r="A146" s="1" t="s">
        <v>26</v>
      </c>
      <c r="B146" s="19">
        <v>80305</v>
      </c>
      <c r="C146" s="5" t="s">
        <v>184</v>
      </c>
      <c r="D146" s="7">
        <v>1178</v>
      </c>
    </row>
    <row r="147" spans="1:4">
      <c r="A147" s="1" t="s">
        <v>26</v>
      </c>
      <c r="B147" s="19">
        <v>80307</v>
      </c>
      <c r="C147" s="5" t="s">
        <v>185</v>
      </c>
      <c r="D147" s="7">
        <v>959</v>
      </c>
    </row>
    <row r="148" spans="1:4">
      <c r="A148" s="1" t="s">
        <v>26</v>
      </c>
      <c r="B148" s="19">
        <v>80308</v>
      </c>
      <c r="C148" s="5" t="s">
        <v>186</v>
      </c>
      <c r="D148" s="7">
        <v>778</v>
      </c>
    </row>
    <row r="149" spans="1:4">
      <c r="A149" s="1" t="s">
        <v>26</v>
      </c>
      <c r="B149" s="19">
        <v>81311</v>
      </c>
      <c r="C149" s="5" t="s">
        <v>187</v>
      </c>
      <c r="D149" s="7">
        <v>364</v>
      </c>
    </row>
    <row r="150" spans="1:4">
      <c r="A150" s="1" t="s">
        <v>26</v>
      </c>
      <c r="B150" s="19">
        <v>81312</v>
      </c>
      <c r="C150" s="5" t="s">
        <v>188</v>
      </c>
      <c r="D150" s="7">
        <v>67</v>
      </c>
    </row>
    <row r="151" spans="1:4">
      <c r="A151" s="1" t="s">
        <v>26</v>
      </c>
      <c r="B151" s="19">
        <v>81313</v>
      </c>
      <c r="C151" s="5" t="s">
        <v>189</v>
      </c>
      <c r="D151" s="7">
        <v>72</v>
      </c>
    </row>
    <row r="152" spans="1:4">
      <c r="A152" s="1" t="s">
        <v>26</v>
      </c>
      <c r="B152" s="19">
        <v>81314</v>
      </c>
      <c r="C152" s="5" t="s">
        <v>190</v>
      </c>
      <c r="D152" s="7">
        <v>444</v>
      </c>
    </row>
    <row r="153" spans="1:4">
      <c r="A153" s="1" t="s">
        <v>26</v>
      </c>
      <c r="B153" s="19">
        <v>84309</v>
      </c>
      <c r="C153" s="5" t="s">
        <v>191</v>
      </c>
      <c r="D153" s="7">
        <v>529</v>
      </c>
    </row>
    <row r="154" spans="1:4">
      <c r="A154" s="1" t="s">
        <v>27</v>
      </c>
      <c r="B154" s="19">
        <v>90305</v>
      </c>
      <c r="C154" s="5" t="s">
        <v>192</v>
      </c>
      <c r="D154" s="7">
        <v>1523</v>
      </c>
    </row>
    <row r="155" spans="1:4">
      <c r="A155" s="1" t="s">
        <v>27</v>
      </c>
      <c r="B155" s="19">
        <v>90306</v>
      </c>
      <c r="C155" s="5" t="s">
        <v>193</v>
      </c>
      <c r="D155" s="7">
        <v>651</v>
      </c>
    </row>
    <row r="156" spans="1:4">
      <c r="A156" s="1" t="s">
        <v>27</v>
      </c>
      <c r="B156" s="19">
        <v>90315</v>
      </c>
      <c r="C156" s="5" t="s">
        <v>194</v>
      </c>
      <c r="D156" s="7">
        <v>1364</v>
      </c>
    </row>
    <row r="157" spans="1:4">
      <c r="A157" s="1" t="s">
        <v>27</v>
      </c>
      <c r="B157" s="19">
        <v>91307</v>
      </c>
      <c r="C157" s="5" t="s">
        <v>195</v>
      </c>
      <c r="D157" s="7">
        <v>307</v>
      </c>
    </row>
    <row r="158" spans="1:4">
      <c r="A158" s="1" t="s">
        <v>27</v>
      </c>
      <c r="B158" s="19">
        <v>91308</v>
      </c>
      <c r="C158" s="5" t="s">
        <v>196</v>
      </c>
      <c r="D158" s="7">
        <v>834</v>
      </c>
    </row>
    <row r="159" spans="1:4">
      <c r="A159" s="1" t="s">
        <v>27</v>
      </c>
      <c r="B159" s="19">
        <v>91311</v>
      </c>
      <c r="C159" s="5" t="s">
        <v>197</v>
      </c>
      <c r="D159" s="7">
        <v>226</v>
      </c>
    </row>
    <row r="160" spans="1:4">
      <c r="A160" s="1" t="s">
        <v>27</v>
      </c>
      <c r="B160" s="19">
        <v>91312</v>
      </c>
      <c r="C160" s="5" t="s">
        <v>198</v>
      </c>
      <c r="D160" s="7">
        <v>254</v>
      </c>
    </row>
    <row r="161" spans="1:4">
      <c r="A161" s="1" t="s">
        <v>27</v>
      </c>
      <c r="B161" s="19">
        <v>91316</v>
      </c>
      <c r="C161" s="5" t="s">
        <v>199</v>
      </c>
      <c r="D161" s="7">
        <v>486</v>
      </c>
    </row>
    <row r="162" spans="1:4">
      <c r="A162" s="1" t="s">
        <v>27</v>
      </c>
      <c r="B162" s="19">
        <v>91318</v>
      </c>
      <c r="C162" s="5" t="s">
        <v>200</v>
      </c>
      <c r="D162" s="7">
        <v>543</v>
      </c>
    </row>
    <row r="163" spans="1:4">
      <c r="A163" s="1" t="s">
        <v>27</v>
      </c>
      <c r="B163" s="19">
        <v>91319</v>
      </c>
      <c r="C163" s="5" t="s">
        <v>201</v>
      </c>
      <c r="D163" s="7">
        <v>201</v>
      </c>
    </row>
    <row r="164" spans="1:4">
      <c r="A164" s="1" t="s">
        <v>27</v>
      </c>
      <c r="B164" s="19">
        <v>91320</v>
      </c>
      <c r="C164" s="5" t="s">
        <v>202</v>
      </c>
      <c r="D164" s="7">
        <v>135</v>
      </c>
    </row>
    <row r="165" spans="1:4">
      <c r="A165" s="1" t="s">
        <v>27</v>
      </c>
      <c r="B165" s="19">
        <v>94301</v>
      </c>
      <c r="C165" s="5" t="s">
        <v>203</v>
      </c>
      <c r="D165" s="7">
        <v>569</v>
      </c>
    </row>
    <row r="166" spans="1:4">
      <c r="A166" s="1" t="s">
        <v>27</v>
      </c>
      <c r="B166" s="19">
        <v>94307</v>
      </c>
      <c r="C166" s="5" t="s">
        <v>204</v>
      </c>
      <c r="D166" s="7">
        <v>405</v>
      </c>
    </row>
    <row r="167" spans="1:4">
      <c r="A167" s="1" t="s">
        <v>27</v>
      </c>
      <c r="B167" s="19">
        <v>94308</v>
      </c>
      <c r="C167" s="5" t="s">
        <v>205</v>
      </c>
      <c r="D167" s="7">
        <v>59</v>
      </c>
    </row>
    <row r="168" spans="1:4">
      <c r="A168" s="1" t="s">
        <v>27</v>
      </c>
      <c r="B168" s="19">
        <v>94326</v>
      </c>
      <c r="C168" s="5" t="s">
        <v>206</v>
      </c>
      <c r="D168" s="7">
        <v>111</v>
      </c>
    </row>
    <row r="169" spans="1:4">
      <c r="A169" s="1" t="s">
        <v>28</v>
      </c>
      <c r="B169" s="18">
        <v>100301</v>
      </c>
      <c r="C169" s="5" t="s">
        <v>207</v>
      </c>
      <c r="D169" s="7">
        <v>1045</v>
      </c>
    </row>
    <row r="170" spans="1:4">
      <c r="A170" s="1" t="s">
        <v>28</v>
      </c>
      <c r="B170" s="18">
        <v>100302</v>
      </c>
      <c r="C170" s="5" t="s">
        <v>208</v>
      </c>
      <c r="D170" s="7">
        <v>195</v>
      </c>
    </row>
    <row r="171" spans="1:4">
      <c r="A171" s="1" t="s">
        <v>28</v>
      </c>
      <c r="B171" s="18">
        <v>100303</v>
      </c>
      <c r="C171" s="5" t="s">
        <v>613</v>
      </c>
      <c r="D171" s="7">
        <v>93</v>
      </c>
    </row>
    <row r="172" spans="1:4">
      <c r="A172" s="1" t="s">
        <v>28</v>
      </c>
      <c r="B172" s="18">
        <v>101303</v>
      </c>
      <c r="C172" s="5" t="s">
        <v>209</v>
      </c>
      <c r="D172" s="7">
        <v>15</v>
      </c>
    </row>
    <row r="173" spans="1:4">
      <c r="A173" s="1" t="s">
        <v>28</v>
      </c>
      <c r="B173" s="18">
        <v>101304</v>
      </c>
      <c r="C173" s="5" t="s">
        <v>210</v>
      </c>
      <c r="D173" s="7">
        <v>868</v>
      </c>
    </row>
    <row r="174" spans="1:4">
      <c r="A174" s="1" t="s">
        <v>28</v>
      </c>
      <c r="B174" s="18">
        <v>104319</v>
      </c>
      <c r="C174" s="5" t="s">
        <v>211</v>
      </c>
      <c r="D174" s="7">
        <v>466</v>
      </c>
    </row>
    <row r="175" spans="1:4">
      <c r="A175" s="1" t="s">
        <v>28</v>
      </c>
      <c r="B175" s="18">
        <v>104326</v>
      </c>
      <c r="C175" s="5" t="s">
        <v>212</v>
      </c>
      <c r="D175" s="7">
        <v>522</v>
      </c>
    </row>
    <row r="176" spans="1:4">
      <c r="A176" s="1" t="s">
        <v>29</v>
      </c>
      <c r="B176" s="18">
        <v>110302</v>
      </c>
      <c r="C176" s="5" t="s">
        <v>213</v>
      </c>
      <c r="D176" s="7">
        <v>1079</v>
      </c>
    </row>
    <row r="177" spans="1:4">
      <c r="A177" s="1" t="s">
        <v>29</v>
      </c>
      <c r="B177" s="18">
        <v>110308</v>
      </c>
      <c r="C177" s="5" t="s">
        <v>214</v>
      </c>
      <c r="D177" s="7">
        <v>1505</v>
      </c>
    </row>
    <row r="178" spans="1:4">
      <c r="A178" s="1" t="s">
        <v>29</v>
      </c>
      <c r="B178" s="18">
        <v>110311</v>
      </c>
      <c r="C178" s="5" t="s">
        <v>215</v>
      </c>
      <c r="D178" s="7">
        <v>967</v>
      </c>
    </row>
    <row r="179" spans="1:4">
      <c r="A179" s="1" t="s">
        <v>29</v>
      </c>
      <c r="B179" s="18">
        <v>110312</v>
      </c>
      <c r="C179" s="5" t="s">
        <v>216</v>
      </c>
      <c r="D179" s="7">
        <v>1006</v>
      </c>
    </row>
    <row r="180" spans="1:4">
      <c r="A180" s="1" t="s">
        <v>29</v>
      </c>
      <c r="B180" s="18">
        <v>110314</v>
      </c>
      <c r="C180" s="5" t="s">
        <v>217</v>
      </c>
      <c r="D180" s="7">
        <v>552</v>
      </c>
    </row>
    <row r="181" spans="1:4">
      <c r="A181" s="1" t="s">
        <v>29</v>
      </c>
      <c r="B181" s="18">
        <v>110315</v>
      </c>
      <c r="C181" s="5" t="s">
        <v>218</v>
      </c>
      <c r="D181" s="7">
        <v>916</v>
      </c>
    </row>
    <row r="182" spans="1:4">
      <c r="A182" s="1" t="s">
        <v>29</v>
      </c>
      <c r="B182" s="18">
        <v>110317</v>
      </c>
      <c r="C182" s="5" t="s">
        <v>219</v>
      </c>
      <c r="D182" s="7">
        <v>1199</v>
      </c>
    </row>
    <row r="183" spans="1:4">
      <c r="A183" s="1" t="s">
        <v>29</v>
      </c>
      <c r="B183" s="18">
        <v>110328</v>
      </c>
      <c r="C183" s="5" t="s">
        <v>220</v>
      </c>
      <c r="D183" s="7">
        <v>400</v>
      </c>
    </row>
    <row r="184" spans="1:4">
      <c r="A184" s="1" t="s">
        <v>29</v>
      </c>
      <c r="B184" s="18">
        <v>111313</v>
      </c>
      <c r="C184" s="5" t="s">
        <v>221</v>
      </c>
      <c r="D184" s="7">
        <v>814</v>
      </c>
    </row>
    <row r="185" spans="1:4">
      <c r="A185" s="1" t="s">
        <v>29</v>
      </c>
      <c r="B185" s="18">
        <v>111320</v>
      </c>
      <c r="C185" s="5" t="s">
        <v>222</v>
      </c>
      <c r="D185" s="7">
        <v>1620</v>
      </c>
    </row>
    <row r="186" spans="1:4">
      <c r="A186" s="1" t="s">
        <v>29</v>
      </c>
      <c r="B186" s="18">
        <v>111321</v>
      </c>
      <c r="C186" s="5" t="s">
        <v>223</v>
      </c>
      <c r="D186" s="7">
        <v>521</v>
      </c>
    </row>
    <row r="187" spans="1:4">
      <c r="A187" s="1" t="s">
        <v>29</v>
      </c>
      <c r="B187" s="18">
        <v>111322</v>
      </c>
      <c r="C187" s="5" t="s">
        <v>224</v>
      </c>
      <c r="D187" s="7">
        <v>170</v>
      </c>
    </row>
    <row r="188" spans="1:4">
      <c r="A188" s="1" t="s">
        <v>29</v>
      </c>
      <c r="B188" s="18">
        <v>111323</v>
      </c>
      <c r="C188" s="5" t="s">
        <v>225</v>
      </c>
      <c r="D188" s="7">
        <v>820</v>
      </c>
    </row>
    <row r="189" spans="1:4">
      <c r="A189" s="1" t="s">
        <v>29</v>
      </c>
      <c r="B189" s="18">
        <v>111326</v>
      </c>
      <c r="C189" s="5" t="s">
        <v>226</v>
      </c>
      <c r="D189" s="7">
        <v>9</v>
      </c>
    </row>
    <row r="190" spans="1:4">
      <c r="A190" s="1" t="s">
        <v>29</v>
      </c>
      <c r="B190" s="18">
        <v>114306</v>
      </c>
      <c r="C190" s="5" t="s">
        <v>227</v>
      </c>
      <c r="D190" s="7">
        <v>646</v>
      </c>
    </row>
    <row r="191" spans="1:4">
      <c r="A191" s="1" t="s">
        <v>29</v>
      </c>
      <c r="B191" s="18">
        <v>114307</v>
      </c>
      <c r="C191" s="5" t="s">
        <v>228</v>
      </c>
      <c r="D191" s="7">
        <v>395</v>
      </c>
    </row>
    <row r="192" spans="1:4">
      <c r="A192" s="1" t="s">
        <v>30</v>
      </c>
      <c r="B192" s="18">
        <v>120303</v>
      </c>
      <c r="C192" s="5" t="s">
        <v>229</v>
      </c>
      <c r="D192" s="7">
        <v>1918</v>
      </c>
    </row>
    <row r="193" spans="1:4">
      <c r="A193" s="1" t="s">
        <v>30</v>
      </c>
      <c r="B193" s="18">
        <v>120304</v>
      </c>
      <c r="C193" s="5" t="s">
        <v>230</v>
      </c>
      <c r="D193" s="7">
        <v>1401</v>
      </c>
    </row>
    <row r="194" spans="1:4">
      <c r="A194" s="1" t="s">
        <v>30</v>
      </c>
      <c r="B194" s="18">
        <v>120311</v>
      </c>
      <c r="C194" s="5" t="s">
        <v>231</v>
      </c>
      <c r="D194" s="7">
        <v>629</v>
      </c>
    </row>
    <row r="195" spans="1:4">
      <c r="A195" s="1" t="s">
        <v>30</v>
      </c>
      <c r="B195" s="18">
        <v>120319</v>
      </c>
      <c r="C195" s="5" t="s">
        <v>232</v>
      </c>
      <c r="D195" s="7">
        <v>1930</v>
      </c>
    </row>
    <row r="196" spans="1:4">
      <c r="A196" s="1" t="s">
        <v>30</v>
      </c>
      <c r="B196" s="18">
        <v>121302</v>
      </c>
      <c r="C196" s="5" t="s">
        <v>233</v>
      </c>
      <c r="D196" s="7">
        <v>19</v>
      </c>
    </row>
    <row r="197" spans="1:4">
      <c r="A197" s="1" t="s">
        <v>30</v>
      </c>
      <c r="B197" s="18">
        <v>121306</v>
      </c>
      <c r="C197" s="5" t="s">
        <v>234</v>
      </c>
      <c r="D197" s="7">
        <v>111</v>
      </c>
    </row>
    <row r="198" spans="1:4">
      <c r="A198" s="1" t="s">
        <v>30</v>
      </c>
      <c r="B198" s="18">
        <v>121307</v>
      </c>
      <c r="C198" s="5" t="s">
        <v>235</v>
      </c>
      <c r="D198" s="7">
        <v>326</v>
      </c>
    </row>
    <row r="199" spans="1:4">
      <c r="A199" s="1" t="s">
        <v>30</v>
      </c>
      <c r="B199" s="18">
        <v>121318</v>
      </c>
      <c r="C199" s="5" t="s">
        <v>236</v>
      </c>
      <c r="D199" s="7">
        <v>297</v>
      </c>
    </row>
    <row r="200" spans="1:4">
      <c r="A200" s="1" t="s">
        <v>30</v>
      </c>
      <c r="B200" s="18">
        <v>121320</v>
      </c>
      <c r="C200" s="5" t="s">
        <v>237</v>
      </c>
      <c r="D200" s="7">
        <v>190</v>
      </c>
    </row>
    <row r="201" spans="1:4">
      <c r="A201" s="1" t="s">
        <v>30</v>
      </c>
      <c r="B201" s="18">
        <v>124302</v>
      </c>
      <c r="C201" s="5" t="s">
        <v>238</v>
      </c>
      <c r="D201" s="7">
        <v>750</v>
      </c>
    </row>
    <row r="202" spans="1:4">
      <c r="A202" s="1" t="s">
        <v>30</v>
      </c>
      <c r="B202" s="18">
        <v>124311</v>
      </c>
      <c r="C202" s="5" t="s">
        <v>239</v>
      </c>
      <c r="D202" s="7">
        <v>531</v>
      </c>
    </row>
    <row r="203" spans="1:4">
      <c r="A203" s="1" t="s">
        <v>30</v>
      </c>
      <c r="B203" s="18">
        <v>124313</v>
      </c>
      <c r="C203" s="5" t="s">
        <v>240</v>
      </c>
      <c r="D203" s="7">
        <v>567</v>
      </c>
    </row>
    <row r="204" spans="1:4">
      <c r="A204" s="1" t="s">
        <v>30</v>
      </c>
      <c r="B204" s="18">
        <v>124322</v>
      </c>
      <c r="C204" s="5" t="s">
        <v>241</v>
      </c>
      <c r="D204" s="7">
        <v>501</v>
      </c>
    </row>
    <row r="205" spans="1:4">
      <c r="A205" s="1" t="s">
        <v>30</v>
      </c>
      <c r="B205" s="18">
        <v>124333</v>
      </c>
      <c r="C205" s="5" t="s">
        <v>242</v>
      </c>
      <c r="D205" s="7">
        <v>77</v>
      </c>
    </row>
    <row r="206" spans="1:4">
      <c r="A206" s="1" t="s">
        <v>30</v>
      </c>
      <c r="B206" s="18">
        <v>124340</v>
      </c>
      <c r="C206" s="5" t="s">
        <v>243</v>
      </c>
      <c r="D206" s="7">
        <v>686</v>
      </c>
    </row>
    <row r="207" spans="1:4">
      <c r="A207" s="1" t="s">
        <v>31</v>
      </c>
      <c r="B207" s="18">
        <v>130302</v>
      </c>
      <c r="C207" s="5" t="s">
        <v>244</v>
      </c>
      <c r="D207" s="7">
        <v>1568</v>
      </c>
    </row>
    <row r="208" spans="1:4">
      <c r="A208" s="1" t="s">
        <v>31</v>
      </c>
      <c r="B208" s="18">
        <v>130305</v>
      </c>
      <c r="C208" s="5" t="s">
        <v>245</v>
      </c>
      <c r="D208" s="7">
        <v>1431</v>
      </c>
    </row>
    <row r="209" spans="1:4">
      <c r="A209" s="1" t="s">
        <v>31</v>
      </c>
      <c r="B209" s="18">
        <v>130306</v>
      </c>
      <c r="C209" s="5" t="s">
        <v>246</v>
      </c>
      <c r="D209" s="7">
        <v>1306</v>
      </c>
    </row>
    <row r="210" spans="1:4">
      <c r="A210" s="1" t="s">
        <v>31</v>
      </c>
      <c r="B210" s="18">
        <v>130307</v>
      </c>
      <c r="C210" s="5" t="s">
        <v>614</v>
      </c>
      <c r="D210" s="7">
        <v>90</v>
      </c>
    </row>
    <row r="211" spans="1:4">
      <c r="A211" s="1" t="s">
        <v>31</v>
      </c>
      <c r="B211" s="18">
        <v>130322</v>
      </c>
      <c r="C211" s="5" t="s">
        <v>247</v>
      </c>
      <c r="D211" s="7">
        <v>665</v>
      </c>
    </row>
    <row r="212" spans="1:4">
      <c r="A212" s="1" t="s">
        <v>31</v>
      </c>
      <c r="B212" s="18">
        <v>131302</v>
      </c>
      <c r="C212" s="5" t="s">
        <v>248</v>
      </c>
      <c r="D212" s="7">
        <v>3</v>
      </c>
    </row>
    <row r="213" spans="1:4">
      <c r="A213" s="1" t="s">
        <v>31</v>
      </c>
      <c r="B213" s="18">
        <v>131307</v>
      </c>
      <c r="C213" s="5" t="s">
        <v>249</v>
      </c>
      <c r="D213" s="7">
        <v>1709</v>
      </c>
    </row>
    <row r="214" spans="1:4">
      <c r="A214" s="1" t="s">
        <v>31</v>
      </c>
      <c r="B214" s="18">
        <v>131308</v>
      </c>
      <c r="C214" s="5" t="s">
        <v>250</v>
      </c>
      <c r="D214" s="7">
        <v>109</v>
      </c>
    </row>
    <row r="215" spans="1:4">
      <c r="A215" s="1" t="s">
        <v>31</v>
      </c>
      <c r="B215" s="18">
        <v>131311</v>
      </c>
      <c r="C215" s="5" t="s">
        <v>251</v>
      </c>
      <c r="D215" s="7">
        <v>484</v>
      </c>
    </row>
    <row r="216" spans="1:4">
      <c r="A216" s="1" t="s">
        <v>31</v>
      </c>
      <c r="B216" s="18">
        <v>134304</v>
      </c>
      <c r="C216" s="5" t="s">
        <v>145</v>
      </c>
      <c r="D216" s="7">
        <v>540</v>
      </c>
    </row>
    <row r="217" spans="1:4">
      <c r="A217" s="1" t="s">
        <v>31</v>
      </c>
      <c r="B217" s="18">
        <v>134321</v>
      </c>
      <c r="C217" s="5" t="s">
        <v>252</v>
      </c>
      <c r="D217" s="7">
        <v>250</v>
      </c>
    </row>
    <row r="218" spans="1:4">
      <c r="A218" s="1" t="s">
        <v>31</v>
      </c>
      <c r="B218" s="18">
        <v>134324</v>
      </c>
      <c r="C218" s="5" t="s">
        <v>253</v>
      </c>
      <c r="D218" s="7">
        <v>602</v>
      </c>
    </row>
    <row r="219" spans="1:4">
      <c r="A219" s="1" t="s">
        <v>31</v>
      </c>
      <c r="B219" s="18">
        <v>134334</v>
      </c>
      <c r="C219" s="5" t="s">
        <v>254</v>
      </c>
      <c r="D219" s="7">
        <v>136</v>
      </c>
    </row>
    <row r="220" spans="1:4">
      <c r="A220" s="1" t="s">
        <v>18</v>
      </c>
      <c r="B220" s="18">
        <v>140301</v>
      </c>
      <c r="C220" s="5" t="s">
        <v>255</v>
      </c>
      <c r="D220" s="7">
        <v>212</v>
      </c>
    </row>
    <row r="221" spans="1:4">
      <c r="A221" s="1" t="s">
        <v>18</v>
      </c>
      <c r="B221" s="18">
        <v>140302</v>
      </c>
      <c r="C221" s="5" t="s">
        <v>256</v>
      </c>
      <c r="D221" s="7">
        <v>806</v>
      </c>
    </row>
    <row r="222" spans="1:4">
      <c r="A222" s="1" t="s">
        <v>18</v>
      </c>
      <c r="B222" s="18">
        <v>140303</v>
      </c>
      <c r="C222" s="5" t="s">
        <v>257</v>
      </c>
      <c r="D222" s="7">
        <v>834</v>
      </c>
    </row>
    <row r="223" spans="1:4">
      <c r="A223" s="1" t="s">
        <v>18</v>
      </c>
      <c r="B223" s="18">
        <v>141301</v>
      </c>
      <c r="C223" s="5" t="s">
        <v>258</v>
      </c>
      <c r="D223" s="7">
        <v>135</v>
      </c>
    </row>
    <row r="224" spans="1:4">
      <c r="A224" s="1" t="s">
        <v>18</v>
      </c>
      <c r="B224" s="18">
        <v>141307</v>
      </c>
      <c r="C224" s="5" t="s">
        <v>259</v>
      </c>
      <c r="D224" s="7">
        <v>24</v>
      </c>
    </row>
    <row r="225" spans="1:4">
      <c r="A225" s="1" t="s">
        <v>18</v>
      </c>
      <c r="B225" s="18">
        <v>144322</v>
      </c>
      <c r="C225" s="5" t="s">
        <v>260</v>
      </c>
      <c r="D225" s="7">
        <v>38</v>
      </c>
    </row>
    <row r="226" spans="1:4">
      <c r="A226" s="1" t="s">
        <v>32</v>
      </c>
      <c r="B226" s="18">
        <v>150302</v>
      </c>
      <c r="C226" s="5" t="s">
        <v>261</v>
      </c>
      <c r="D226" s="7">
        <v>1010</v>
      </c>
    </row>
    <row r="227" spans="1:4">
      <c r="A227" s="1" t="s">
        <v>32</v>
      </c>
      <c r="B227" s="18">
        <v>150303</v>
      </c>
      <c r="C227" s="5" t="s">
        <v>262</v>
      </c>
      <c r="D227" s="7">
        <v>1049</v>
      </c>
    </row>
    <row r="228" spans="1:4">
      <c r="A228" s="1" t="s">
        <v>32</v>
      </c>
      <c r="B228" s="18">
        <v>150309</v>
      </c>
      <c r="C228" s="5" t="s">
        <v>263</v>
      </c>
      <c r="D228" s="7">
        <v>379</v>
      </c>
    </row>
    <row r="229" spans="1:4">
      <c r="A229" s="1" t="s">
        <v>32</v>
      </c>
      <c r="B229" s="18">
        <v>151306</v>
      </c>
      <c r="C229" s="5" t="s">
        <v>264</v>
      </c>
      <c r="D229" s="7">
        <v>729</v>
      </c>
    </row>
    <row r="230" spans="1:4">
      <c r="A230" s="1" t="s">
        <v>32</v>
      </c>
      <c r="B230" s="18">
        <v>151307</v>
      </c>
      <c r="C230" s="5" t="s">
        <v>265</v>
      </c>
      <c r="D230" s="7">
        <v>897</v>
      </c>
    </row>
    <row r="231" spans="1:4">
      <c r="A231" s="1" t="s">
        <v>32</v>
      </c>
      <c r="B231" s="18">
        <v>151312</v>
      </c>
      <c r="C231" s="5" t="s">
        <v>266</v>
      </c>
      <c r="D231" s="7">
        <v>601</v>
      </c>
    </row>
    <row r="232" spans="1:4">
      <c r="A232" s="1" t="s">
        <v>32</v>
      </c>
      <c r="B232" s="18">
        <v>154301</v>
      </c>
      <c r="C232" s="5" t="s">
        <v>267</v>
      </c>
      <c r="D232" s="7">
        <v>116</v>
      </c>
    </row>
    <row r="233" spans="1:4">
      <c r="A233" s="1" t="s">
        <v>32</v>
      </c>
      <c r="B233" s="18">
        <v>154399</v>
      </c>
      <c r="C233" s="5" t="s">
        <v>268</v>
      </c>
      <c r="D233" s="7">
        <v>16</v>
      </c>
    </row>
    <row r="234" spans="1:4">
      <c r="A234" s="1" t="s">
        <v>33</v>
      </c>
      <c r="B234" s="18">
        <v>160302</v>
      </c>
      <c r="C234" s="5" t="s">
        <v>269</v>
      </c>
      <c r="D234" s="7">
        <v>1002</v>
      </c>
    </row>
    <row r="235" spans="1:4">
      <c r="A235" s="1" t="s">
        <v>34</v>
      </c>
      <c r="B235" s="18">
        <v>170301</v>
      </c>
      <c r="C235" s="5" t="s">
        <v>270</v>
      </c>
      <c r="D235" s="7">
        <v>738</v>
      </c>
    </row>
    <row r="236" spans="1:4">
      <c r="A236" s="1" t="s">
        <v>34</v>
      </c>
      <c r="B236" s="18">
        <v>170302</v>
      </c>
      <c r="C236" s="5" t="s">
        <v>271</v>
      </c>
      <c r="D236" s="7">
        <v>681</v>
      </c>
    </row>
    <row r="237" spans="1:4">
      <c r="A237" s="1" t="s">
        <v>34</v>
      </c>
      <c r="B237" s="18">
        <v>171306</v>
      </c>
      <c r="C237" s="5" t="s">
        <v>272</v>
      </c>
      <c r="D237" s="7">
        <v>1569</v>
      </c>
    </row>
    <row r="238" spans="1:4">
      <c r="A238" s="1" t="s">
        <v>34</v>
      </c>
      <c r="B238" s="18">
        <v>171308</v>
      </c>
      <c r="C238" s="5" t="s">
        <v>273</v>
      </c>
      <c r="D238" s="7">
        <v>51</v>
      </c>
    </row>
    <row r="239" spans="1:4">
      <c r="A239" s="1" t="s">
        <v>34</v>
      </c>
      <c r="B239" s="18">
        <v>173304</v>
      </c>
      <c r="C239" s="5" t="s">
        <v>274</v>
      </c>
      <c r="D239" s="7">
        <v>222</v>
      </c>
    </row>
    <row r="240" spans="1:4">
      <c r="A240" s="1" t="s">
        <v>34</v>
      </c>
      <c r="B240" s="18">
        <v>173306</v>
      </c>
      <c r="C240" s="5" t="s">
        <v>275</v>
      </c>
      <c r="D240" s="7">
        <v>412</v>
      </c>
    </row>
    <row r="241" spans="1:4">
      <c r="A241" s="1" t="s">
        <v>34</v>
      </c>
      <c r="B241" s="18">
        <v>173307</v>
      </c>
      <c r="C241" s="5" t="s">
        <v>276</v>
      </c>
      <c r="D241" s="7">
        <v>293</v>
      </c>
    </row>
    <row r="242" spans="1:4">
      <c r="A242" s="1" t="s">
        <v>34</v>
      </c>
      <c r="B242" s="18">
        <v>173314</v>
      </c>
      <c r="C242" s="5" t="s">
        <v>277</v>
      </c>
      <c r="D242" s="7">
        <v>171</v>
      </c>
    </row>
    <row r="243" spans="1:4">
      <c r="A243" s="1" t="s">
        <v>35</v>
      </c>
      <c r="B243" s="18">
        <v>180301</v>
      </c>
      <c r="C243" s="5" t="s">
        <v>278</v>
      </c>
      <c r="D243" s="7">
        <v>731</v>
      </c>
    </row>
    <row r="244" spans="1:4">
      <c r="A244" s="1" t="s">
        <v>35</v>
      </c>
      <c r="B244" s="18">
        <v>180302</v>
      </c>
      <c r="C244" s="5" t="s">
        <v>279</v>
      </c>
      <c r="D244" s="7">
        <v>1866</v>
      </c>
    </row>
    <row r="245" spans="1:4">
      <c r="A245" s="1" t="s">
        <v>35</v>
      </c>
      <c r="B245" s="18">
        <v>180309</v>
      </c>
      <c r="C245" s="5" t="s">
        <v>280</v>
      </c>
      <c r="D245" s="7">
        <v>1889</v>
      </c>
    </row>
    <row r="246" spans="1:4">
      <c r="A246" s="1" t="s">
        <v>35</v>
      </c>
      <c r="B246" s="18">
        <v>181305</v>
      </c>
      <c r="C246" s="5" t="s">
        <v>281</v>
      </c>
      <c r="D246" s="7">
        <v>4373</v>
      </c>
    </row>
    <row r="247" spans="1:4">
      <c r="A247" s="1" t="s">
        <v>35</v>
      </c>
      <c r="B247" s="18">
        <v>181306</v>
      </c>
      <c r="C247" s="5" t="s">
        <v>282</v>
      </c>
      <c r="D247" s="7">
        <v>1074</v>
      </c>
    </row>
    <row r="248" spans="1:4">
      <c r="A248" s="1" t="s">
        <v>35</v>
      </c>
      <c r="B248" s="18">
        <v>181307</v>
      </c>
      <c r="C248" s="5" t="s">
        <v>283</v>
      </c>
      <c r="D248" s="7">
        <v>1870</v>
      </c>
    </row>
    <row r="249" spans="1:4">
      <c r="A249" s="1" t="s">
        <v>35</v>
      </c>
      <c r="B249" s="18">
        <v>181308</v>
      </c>
      <c r="C249" s="5" t="s">
        <v>284</v>
      </c>
      <c r="D249" s="7">
        <v>225</v>
      </c>
    </row>
    <row r="250" spans="1:4">
      <c r="A250" s="1" t="s">
        <v>35</v>
      </c>
      <c r="B250" s="18">
        <v>183306</v>
      </c>
      <c r="C250" s="5" t="s">
        <v>285</v>
      </c>
      <c r="D250" s="7">
        <v>979</v>
      </c>
    </row>
    <row r="251" spans="1:4">
      <c r="A251" s="1" t="s">
        <v>35</v>
      </c>
      <c r="B251" s="18">
        <v>183307</v>
      </c>
      <c r="C251" s="5" t="s">
        <v>286</v>
      </c>
      <c r="D251" s="7">
        <v>1040</v>
      </c>
    </row>
    <row r="252" spans="1:4">
      <c r="A252" s="1" t="s">
        <v>35</v>
      </c>
      <c r="B252" s="18">
        <v>183313</v>
      </c>
      <c r="C252" s="5" t="s">
        <v>287</v>
      </c>
      <c r="D252" s="7">
        <v>962</v>
      </c>
    </row>
    <row r="253" spans="1:4">
      <c r="A253" s="1" t="s">
        <v>24</v>
      </c>
      <c r="B253" s="18">
        <v>191301</v>
      </c>
      <c r="C253" s="5" t="s">
        <v>288</v>
      </c>
      <c r="D253" s="7">
        <v>835</v>
      </c>
    </row>
    <row r="254" spans="1:4">
      <c r="A254" s="1" t="s">
        <v>24</v>
      </c>
      <c r="B254" s="18">
        <v>191302</v>
      </c>
      <c r="C254" s="5" t="s">
        <v>289</v>
      </c>
      <c r="D254" s="7">
        <v>362</v>
      </c>
    </row>
    <row r="255" spans="1:4">
      <c r="A255" s="1" t="s">
        <v>24</v>
      </c>
      <c r="B255" s="18">
        <v>191305</v>
      </c>
      <c r="C255" s="5" t="s">
        <v>290</v>
      </c>
      <c r="D255" s="7">
        <v>5113</v>
      </c>
    </row>
    <row r="256" spans="1:4">
      <c r="A256" s="1" t="s">
        <v>24</v>
      </c>
      <c r="B256" s="18">
        <v>191308</v>
      </c>
      <c r="C256" s="5" t="s">
        <v>291</v>
      </c>
      <c r="D256" s="7">
        <v>1037</v>
      </c>
    </row>
    <row r="257" spans="1:4">
      <c r="A257" s="1" t="s">
        <v>24</v>
      </c>
      <c r="B257" s="18">
        <v>191309</v>
      </c>
      <c r="C257" s="5" t="s">
        <v>292</v>
      </c>
      <c r="D257" s="7">
        <v>2141</v>
      </c>
    </row>
    <row r="258" spans="1:4">
      <c r="A258" s="1" t="s">
        <v>24</v>
      </c>
      <c r="B258" s="18">
        <v>191311</v>
      </c>
      <c r="C258" s="5" t="s">
        <v>293</v>
      </c>
      <c r="D258" s="7">
        <v>1082</v>
      </c>
    </row>
    <row r="259" spans="1:4">
      <c r="A259" s="1" t="s">
        <v>24</v>
      </c>
      <c r="B259" s="18">
        <v>191313</v>
      </c>
      <c r="C259" s="5" t="s">
        <v>294</v>
      </c>
      <c r="D259" s="7">
        <v>833</v>
      </c>
    </row>
    <row r="260" spans="1:4">
      <c r="A260" s="1" t="s">
        <v>24</v>
      </c>
      <c r="B260" s="18">
        <v>191314</v>
      </c>
      <c r="C260" s="5" t="s">
        <v>295</v>
      </c>
      <c r="D260" s="7">
        <v>2897</v>
      </c>
    </row>
    <row r="261" spans="1:4">
      <c r="A261" s="1" t="s">
        <v>24</v>
      </c>
      <c r="B261" s="18">
        <v>191315</v>
      </c>
      <c r="C261" s="5" t="s">
        <v>296</v>
      </c>
      <c r="D261" s="7">
        <v>61</v>
      </c>
    </row>
    <row r="262" spans="1:4">
      <c r="A262" s="1" t="s">
        <v>24</v>
      </c>
      <c r="B262" s="18">
        <v>193301</v>
      </c>
      <c r="C262" s="5" t="s">
        <v>297</v>
      </c>
      <c r="D262" s="7">
        <v>1913</v>
      </c>
    </row>
    <row r="263" spans="1:4">
      <c r="A263" s="1" t="s">
        <v>24</v>
      </c>
      <c r="B263" s="18">
        <v>193302</v>
      </c>
      <c r="C263" s="5" t="s">
        <v>298</v>
      </c>
      <c r="D263" s="7">
        <v>2715</v>
      </c>
    </row>
    <row r="264" spans="1:4">
      <c r="A264" s="1" t="s">
        <v>24</v>
      </c>
      <c r="B264" s="18">
        <v>193303</v>
      </c>
      <c r="C264" s="5" t="s">
        <v>299</v>
      </c>
      <c r="D264" s="7">
        <v>932</v>
      </c>
    </row>
    <row r="265" spans="1:4">
      <c r="A265" s="1" t="s">
        <v>24</v>
      </c>
      <c r="B265" s="18">
        <v>193313</v>
      </c>
      <c r="C265" s="5" t="s">
        <v>300</v>
      </c>
      <c r="D265" s="7">
        <v>990</v>
      </c>
    </row>
    <row r="266" spans="1:4">
      <c r="A266" s="1" t="s">
        <v>24</v>
      </c>
      <c r="B266" s="18">
        <v>193315</v>
      </c>
      <c r="C266" s="5" t="s">
        <v>301</v>
      </c>
      <c r="D266" s="7">
        <v>996</v>
      </c>
    </row>
    <row r="267" spans="1:4">
      <c r="A267" s="1" t="s">
        <v>24</v>
      </c>
      <c r="B267" s="18">
        <v>193316</v>
      </c>
      <c r="C267" s="5" t="s">
        <v>302</v>
      </c>
      <c r="D267" s="7">
        <v>1194</v>
      </c>
    </row>
    <row r="268" spans="1:4">
      <c r="A268" s="1" t="s">
        <v>24</v>
      </c>
      <c r="B268" s="18">
        <v>194303</v>
      </c>
      <c r="C268" s="5" t="s">
        <v>303</v>
      </c>
      <c r="D268" s="7">
        <v>2390</v>
      </c>
    </row>
    <row r="269" spans="1:4">
      <c r="A269" s="1" t="s">
        <v>24</v>
      </c>
      <c r="B269" s="18">
        <v>194315</v>
      </c>
      <c r="C269" s="5" t="s">
        <v>304</v>
      </c>
      <c r="D269" s="7">
        <v>2094</v>
      </c>
    </row>
    <row r="270" spans="1:4">
      <c r="A270" s="1" t="s">
        <v>36</v>
      </c>
      <c r="B270" s="18">
        <v>200302</v>
      </c>
      <c r="C270" s="5" t="s">
        <v>305</v>
      </c>
      <c r="D270" s="7">
        <v>1570</v>
      </c>
    </row>
    <row r="271" spans="1:4">
      <c r="A271" s="1" t="s">
        <v>36</v>
      </c>
      <c r="B271" s="18">
        <v>200303</v>
      </c>
      <c r="C271" s="5" t="s">
        <v>306</v>
      </c>
      <c r="D271" s="7">
        <v>2023</v>
      </c>
    </row>
    <row r="272" spans="1:4">
      <c r="A272" s="1" t="s">
        <v>36</v>
      </c>
      <c r="B272" s="18">
        <v>201304</v>
      </c>
      <c r="C272" s="5" t="s">
        <v>307</v>
      </c>
      <c r="D272" s="7">
        <v>481</v>
      </c>
    </row>
    <row r="273" spans="1:4">
      <c r="A273" s="1" t="s">
        <v>36</v>
      </c>
      <c r="B273" s="18">
        <v>201310</v>
      </c>
      <c r="C273" s="5" t="s">
        <v>309</v>
      </c>
      <c r="D273" s="7">
        <v>556</v>
      </c>
    </row>
    <row r="274" spans="1:4">
      <c r="A274" s="1" t="s">
        <v>36</v>
      </c>
      <c r="B274" s="18">
        <v>201312</v>
      </c>
      <c r="C274" s="5" t="s">
        <v>310</v>
      </c>
      <c r="D274" s="7">
        <v>644</v>
      </c>
    </row>
    <row r="275" spans="1:4">
      <c r="A275" s="1" t="s">
        <v>36</v>
      </c>
      <c r="B275" s="18">
        <v>201313</v>
      </c>
      <c r="C275" s="5" t="s">
        <v>615</v>
      </c>
      <c r="D275" s="7">
        <v>82</v>
      </c>
    </row>
    <row r="276" spans="1:4">
      <c r="A276" s="1" t="s">
        <v>36</v>
      </c>
      <c r="B276" s="18">
        <v>201314</v>
      </c>
      <c r="C276" s="5" t="s">
        <v>312</v>
      </c>
      <c r="D276" s="7">
        <v>54</v>
      </c>
    </row>
    <row r="277" spans="1:4">
      <c r="A277" s="1" t="s">
        <v>29</v>
      </c>
      <c r="B277" s="18">
        <v>210303</v>
      </c>
      <c r="C277" s="5" t="s">
        <v>313</v>
      </c>
      <c r="D277" s="7">
        <v>1959</v>
      </c>
    </row>
    <row r="278" spans="1:4">
      <c r="A278" s="1" t="s">
        <v>29</v>
      </c>
      <c r="B278" s="18">
        <v>210305</v>
      </c>
      <c r="C278" s="5" t="s">
        <v>314</v>
      </c>
      <c r="D278" s="7">
        <v>2072</v>
      </c>
    </row>
    <row r="279" spans="1:4">
      <c r="A279" s="1" t="s">
        <v>29</v>
      </c>
      <c r="B279" s="18">
        <v>210306</v>
      </c>
      <c r="C279" s="5" t="s">
        <v>315</v>
      </c>
      <c r="D279" s="7">
        <v>1958</v>
      </c>
    </row>
    <row r="280" spans="1:4">
      <c r="A280" s="1" t="s">
        <v>29</v>
      </c>
      <c r="B280" s="18">
        <v>210309</v>
      </c>
      <c r="C280" s="5" t="s">
        <v>316</v>
      </c>
      <c r="D280" s="7">
        <v>1704</v>
      </c>
    </row>
    <row r="281" spans="1:4">
      <c r="A281" s="1" t="s">
        <v>29</v>
      </c>
      <c r="B281" s="18">
        <v>211301</v>
      </c>
      <c r="C281" s="5" t="s">
        <v>317</v>
      </c>
      <c r="D281" s="7">
        <v>1464</v>
      </c>
    </row>
    <row r="282" spans="1:4">
      <c r="A282" s="1" t="s">
        <v>29</v>
      </c>
      <c r="B282" s="18">
        <v>211302</v>
      </c>
      <c r="C282" s="5" t="s">
        <v>318</v>
      </c>
      <c r="D282" s="7">
        <v>539</v>
      </c>
    </row>
    <row r="283" spans="1:4">
      <c r="A283" s="1" t="s">
        <v>29</v>
      </c>
      <c r="B283" s="18">
        <v>211304</v>
      </c>
      <c r="C283" s="5" t="s">
        <v>319</v>
      </c>
      <c r="D283" s="7">
        <v>784</v>
      </c>
    </row>
    <row r="284" spans="1:4">
      <c r="A284" s="1" t="s">
        <v>29</v>
      </c>
      <c r="B284" s="18">
        <v>211310</v>
      </c>
      <c r="C284" s="5" t="s">
        <v>320</v>
      </c>
      <c r="D284" s="7">
        <v>1241</v>
      </c>
    </row>
    <row r="285" spans="1:4">
      <c r="A285" s="1" t="s">
        <v>29</v>
      </c>
      <c r="B285" s="18">
        <v>211314</v>
      </c>
      <c r="C285" s="5" t="s">
        <v>321</v>
      </c>
      <c r="D285" s="7">
        <v>433</v>
      </c>
    </row>
    <row r="286" spans="1:4">
      <c r="A286" s="1" t="s">
        <v>29</v>
      </c>
      <c r="B286" s="18">
        <v>211315</v>
      </c>
      <c r="C286" s="5" t="s">
        <v>322</v>
      </c>
      <c r="D286" s="7">
        <v>1074</v>
      </c>
    </row>
    <row r="287" spans="1:4">
      <c r="A287" s="1" t="s">
        <v>29</v>
      </c>
      <c r="B287" s="18">
        <v>211317</v>
      </c>
      <c r="C287" s="5" t="s">
        <v>323</v>
      </c>
      <c r="D287" s="7">
        <v>21</v>
      </c>
    </row>
    <row r="288" spans="1:4">
      <c r="A288" s="1" t="s">
        <v>29</v>
      </c>
      <c r="B288" s="18">
        <v>211318</v>
      </c>
      <c r="C288" s="5" t="s">
        <v>324</v>
      </c>
      <c r="D288" s="7">
        <v>1112</v>
      </c>
    </row>
    <row r="289" spans="1:4">
      <c r="A289" s="1" t="s">
        <v>29</v>
      </c>
      <c r="B289" s="18">
        <v>211320</v>
      </c>
      <c r="C289" s="5" t="s">
        <v>325</v>
      </c>
      <c r="D289" s="7">
        <v>615</v>
      </c>
    </row>
    <row r="290" spans="1:4">
      <c r="A290" s="1" t="s">
        <v>29</v>
      </c>
      <c r="B290" s="18">
        <v>213303</v>
      </c>
      <c r="C290" s="5" t="s">
        <v>326</v>
      </c>
      <c r="D290" s="7">
        <v>336</v>
      </c>
    </row>
    <row r="291" spans="1:4">
      <c r="A291" s="1" t="s">
        <v>29</v>
      </c>
      <c r="B291" s="18">
        <v>213316</v>
      </c>
      <c r="C291" s="5" t="s">
        <v>327</v>
      </c>
      <c r="D291" s="7">
        <v>241</v>
      </c>
    </row>
    <row r="292" spans="1:4">
      <c r="A292" s="1" t="s">
        <v>17</v>
      </c>
      <c r="B292" s="18">
        <v>313301</v>
      </c>
      <c r="C292" s="5" t="s">
        <v>328</v>
      </c>
      <c r="D292" s="7">
        <v>1079</v>
      </c>
    </row>
    <row r="293" spans="1:4">
      <c r="A293" s="1" t="s">
        <v>17</v>
      </c>
      <c r="B293" s="18">
        <v>313302</v>
      </c>
      <c r="C293" s="5" t="s">
        <v>329</v>
      </c>
      <c r="D293" s="7">
        <v>1053</v>
      </c>
    </row>
    <row r="294" spans="1:4">
      <c r="A294" s="1" t="s">
        <v>17</v>
      </c>
      <c r="B294" s="18">
        <v>321399</v>
      </c>
      <c r="C294" s="5" t="s">
        <v>616</v>
      </c>
      <c r="D294" s="7">
        <v>212</v>
      </c>
    </row>
    <row r="295" spans="1:4">
      <c r="A295" s="1" t="s">
        <v>17</v>
      </c>
      <c r="B295" s="18">
        <v>323301</v>
      </c>
      <c r="C295" s="5" t="s">
        <v>331</v>
      </c>
      <c r="D295" s="7">
        <v>2146</v>
      </c>
    </row>
    <row r="296" spans="1:4">
      <c r="A296" s="1" t="s">
        <v>17</v>
      </c>
      <c r="B296" s="18">
        <v>323302</v>
      </c>
      <c r="C296" s="5" t="s">
        <v>332</v>
      </c>
      <c r="D296" s="7">
        <v>1562</v>
      </c>
    </row>
    <row r="297" spans="1:4">
      <c r="A297" s="1" t="s">
        <v>17</v>
      </c>
      <c r="B297" s="18">
        <v>330301</v>
      </c>
      <c r="C297" s="5" t="s">
        <v>333</v>
      </c>
      <c r="D297" s="7">
        <v>2548</v>
      </c>
    </row>
    <row r="298" spans="1:4">
      <c r="A298" s="1" t="s">
        <v>17</v>
      </c>
      <c r="B298" s="18">
        <v>331301</v>
      </c>
      <c r="C298" s="5" t="s">
        <v>334</v>
      </c>
      <c r="D298" s="7">
        <v>1144</v>
      </c>
    </row>
    <row r="299" spans="1:4">
      <c r="A299" s="1" t="s">
        <v>17</v>
      </c>
      <c r="B299" s="18">
        <v>331302</v>
      </c>
      <c r="C299" s="5" t="s">
        <v>335</v>
      </c>
      <c r="D299" s="7">
        <v>1084</v>
      </c>
    </row>
    <row r="300" spans="1:4">
      <c r="A300" s="1" t="s">
        <v>17</v>
      </c>
      <c r="B300" s="18">
        <v>331304</v>
      </c>
      <c r="C300" s="5" t="s">
        <v>336</v>
      </c>
      <c r="D300" s="7">
        <v>539</v>
      </c>
    </row>
    <row r="301" spans="1:4">
      <c r="A301" s="1" t="s">
        <v>17</v>
      </c>
      <c r="B301" s="18">
        <v>333301</v>
      </c>
      <c r="C301" s="5" t="s">
        <v>337</v>
      </c>
      <c r="D301" s="7">
        <v>1323</v>
      </c>
    </row>
    <row r="302" spans="1:4">
      <c r="A302" s="1" t="s">
        <v>17</v>
      </c>
      <c r="B302" s="18">
        <v>333304</v>
      </c>
      <c r="C302" s="5" t="s">
        <v>338</v>
      </c>
      <c r="D302" s="7">
        <v>88</v>
      </c>
    </row>
    <row r="303" spans="1:4">
      <c r="A303" s="1" t="s">
        <v>17</v>
      </c>
      <c r="B303" s="18">
        <v>341302</v>
      </c>
      <c r="C303" s="5" t="s">
        <v>339</v>
      </c>
      <c r="D303" s="7">
        <v>920</v>
      </c>
    </row>
    <row r="304" spans="1:4">
      <c r="A304" s="1" t="s">
        <v>17</v>
      </c>
      <c r="B304" s="18">
        <v>343301</v>
      </c>
      <c r="C304" s="5" t="s">
        <v>340</v>
      </c>
      <c r="D304" s="7">
        <v>2189</v>
      </c>
    </row>
    <row r="305" spans="1:4">
      <c r="A305" s="1" t="s">
        <v>17</v>
      </c>
      <c r="B305" s="18">
        <v>343302</v>
      </c>
      <c r="C305" s="5" t="s">
        <v>341</v>
      </c>
      <c r="D305" s="7">
        <v>1661</v>
      </c>
    </row>
    <row r="306" spans="1:4">
      <c r="A306" s="1" t="s">
        <v>17</v>
      </c>
      <c r="B306" s="18">
        <v>343303</v>
      </c>
      <c r="C306" s="5" t="s">
        <v>342</v>
      </c>
      <c r="D306" s="7">
        <v>1051</v>
      </c>
    </row>
    <row r="307" spans="1:4">
      <c r="A307" s="1" t="s">
        <v>17</v>
      </c>
      <c r="B307" s="18">
        <v>351301</v>
      </c>
      <c r="C307" s="5" t="s">
        <v>343</v>
      </c>
      <c r="D307" s="7">
        <v>369</v>
      </c>
    </row>
    <row r="308" spans="1:4">
      <c r="A308" s="1" t="s">
        <v>17</v>
      </c>
      <c r="B308" s="18">
        <v>353301</v>
      </c>
      <c r="C308" s="5" t="s">
        <v>344</v>
      </c>
      <c r="D308" s="7">
        <v>2821</v>
      </c>
    </row>
    <row r="309" spans="1:4">
      <c r="A309" s="1" t="s">
        <v>17</v>
      </c>
      <c r="B309" s="18">
        <v>353302</v>
      </c>
      <c r="C309" s="5" t="s">
        <v>345</v>
      </c>
      <c r="D309" s="7">
        <v>2291</v>
      </c>
    </row>
    <row r="310" spans="1:4">
      <c r="A310" s="1" t="s">
        <v>17</v>
      </c>
      <c r="B310" s="18">
        <v>353303</v>
      </c>
      <c r="C310" s="5" t="s">
        <v>346</v>
      </c>
      <c r="D310" s="7">
        <v>2393</v>
      </c>
    </row>
    <row r="311" spans="1:4">
      <c r="A311" s="1" t="s">
        <v>17</v>
      </c>
      <c r="B311" s="18">
        <v>361301</v>
      </c>
      <c r="C311" s="5" t="s">
        <v>617</v>
      </c>
      <c r="D311" s="7">
        <v>914</v>
      </c>
    </row>
    <row r="312" spans="1:4">
      <c r="A312" s="1" t="s">
        <v>17</v>
      </c>
      <c r="B312" s="18">
        <v>363301</v>
      </c>
      <c r="C312" s="5" t="s">
        <v>348</v>
      </c>
      <c r="D312" s="7">
        <v>1594</v>
      </c>
    </row>
    <row r="313" spans="1:4">
      <c r="A313" s="1" t="s">
        <v>17</v>
      </c>
      <c r="B313" s="18">
        <v>363302</v>
      </c>
      <c r="C313" s="5" t="s">
        <v>349</v>
      </c>
      <c r="D313" s="7">
        <v>1219</v>
      </c>
    </row>
    <row r="314" spans="1:4">
      <c r="A314" s="1" t="s">
        <v>17</v>
      </c>
      <c r="B314" s="18">
        <v>373301</v>
      </c>
      <c r="C314" s="5" t="s">
        <v>350</v>
      </c>
      <c r="D314" s="7">
        <v>1645</v>
      </c>
    </row>
    <row r="315" spans="1:4">
      <c r="A315" s="1" t="s">
        <v>17</v>
      </c>
      <c r="B315" s="18">
        <v>373302</v>
      </c>
      <c r="C315" s="5" t="s">
        <v>351</v>
      </c>
      <c r="D315" s="7">
        <v>910</v>
      </c>
    </row>
    <row r="316" spans="1:4">
      <c r="A316" s="1" t="s">
        <v>17</v>
      </c>
      <c r="B316" s="18">
        <v>380301</v>
      </c>
      <c r="C316" s="5" t="s">
        <v>352</v>
      </c>
      <c r="D316" s="7">
        <v>620</v>
      </c>
    </row>
    <row r="317" spans="1:4">
      <c r="A317" s="1" t="s">
        <v>17</v>
      </c>
      <c r="B317" s="18">
        <v>381301</v>
      </c>
      <c r="C317" s="5" t="s">
        <v>353</v>
      </c>
      <c r="D317" s="7">
        <v>1399</v>
      </c>
    </row>
    <row r="318" spans="1:4">
      <c r="A318" s="1" t="s">
        <v>17</v>
      </c>
      <c r="B318" s="18">
        <v>381302</v>
      </c>
      <c r="C318" s="5" t="s">
        <v>354</v>
      </c>
      <c r="D318" s="7">
        <v>232</v>
      </c>
    </row>
    <row r="319" spans="1:4">
      <c r="A319" s="1" t="s">
        <v>17</v>
      </c>
      <c r="B319" s="18">
        <v>381303</v>
      </c>
      <c r="C319" s="5" t="s">
        <v>355</v>
      </c>
      <c r="D319" s="7">
        <v>192</v>
      </c>
    </row>
    <row r="320" spans="1:4">
      <c r="A320" s="1" t="s">
        <v>17</v>
      </c>
      <c r="B320" s="18">
        <v>381304</v>
      </c>
      <c r="C320" s="5" t="s">
        <v>356</v>
      </c>
      <c r="D320" s="7">
        <v>790</v>
      </c>
    </row>
    <row r="321" spans="1:4">
      <c r="A321" s="1" t="s">
        <v>17</v>
      </c>
      <c r="B321" s="18">
        <v>381305</v>
      </c>
      <c r="C321" s="5" t="s">
        <v>357</v>
      </c>
      <c r="D321" s="7">
        <v>782</v>
      </c>
    </row>
    <row r="322" spans="1:4">
      <c r="A322" s="1" t="s">
        <v>17</v>
      </c>
      <c r="B322" s="18">
        <v>381306</v>
      </c>
      <c r="C322" s="5" t="s">
        <v>618</v>
      </c>
      <c r="D322" s="7">
        <v>277</v>
      </c>
    </row>
    <row r="323" spans="1:4">
      <c r="A323" s="1" t="s">
        <v>17</v>
      </c>
      <c r="B323" s="18">
        <v>383301</v>
      </c>
      <c r="C323" s="5" t="s">
        <v>359</v>
      </c>
      <c r="D323" s="7">
        <v>1861</v>
      </c>
    </row>
    <row r="324" spans="1:4">
      <c r="A324" s="1" t="s">
        <v>17</v>
      </c>
      <c r="B324" s="18">
        <v>383302</v>
      </c>
      <c r="C324" s="5" t="s">
        <v>360</v>
      </c>
      <c r="D324" s="7">
        <v>1130</v>
      </c>
    </row>
    <row r="325" spans="1:4">
      <c r="A325" s="1" t="s">
        <v>17</v>
      </c>
      <c r="B325" s="18">
        <v>383303</v>
      </c>
      <c r="C325" s="5" t="s">
        <v>361</v>
      </c>
      <c r="D325" s="7">
        <v>121</v>
      </c>
    </row>
    <row r="326" spans="1:4">
      <c r="A326" s="1" t="s">
        <v>17</v>
      </c>
      <c r="B326" s="18">
        <v>393301</v>
      </c>
      <c r="C326" s="5" t="s">
        <v>362</v>
      </c>
      <c r="D326" s="7">
        <v>1015</v>
      </c>
    </row>
    <row r="327" spans="1:4">
      <c r="A327" s="1" t="s">
        <v>17</v>
      </c>
      <c r="B327" s="18">
        <v>393302</v>
      </c>
      <c r="C327" s="5" t="s">
        <v>363</v>
      </c>
      <c r="D327" s="7">
        <v>1780</v>
      </c>
    </row>
    <row r="328" spans="1:4">
      <c r="A328" s="1" t="s">
        <v>17</v>
      </c>
      <c r="B328" s="18">
        <v>401301</v>
      </c>
      <c r="C328" s="5" t="s">
        <v>364</v>
      </c>
      <c r="D328" s="7">
        <v>14</v>
      </c>
    </row>
    <row r="329" spans="1:4">
      <c r="A329" s="1" t="s">
        <v>17</v>
      </c>
      <c r="B329" s="18">
        <v>401302</v>
      </c>
      <c r="C329" s="5" t="s">
        <v>365</v>
      </c>
      <c r="D329" s="7">
        <v>0</v>
      </c>
    </row>
    <row r="330" spans="1:4">
      <c r="A330" s="1" t="s">
        <v>17</v>
      </c>
      <c r="B330" s="18">
        <v>401303</v>
      </c>
      <c r="C330" s="5" t="s">
        <v>619</v>
      </c>
      <c r="D330" s="7">
        <v>330</v>
      </c>
    </row>
    <row r="331" spans="1:4">
      <c r="A331" s="1" t="s">
        <v>17</v>
      </c>
      <c r="B331" s="18">
        <v>403301</v>
      </c>
      <c r="C331" s="5" t="s">
        <v>367</v>
      </c>
      <c r="D331" s="7">
        <v>1960</v>
      </c>
    </row>
    <row r="332" spans="1:4">
      <c r="A332" s="1" t="s">
        <v>17</v>
      </c>
      <c r="B332" s="18">
        <v>403302</v>
      </c>
      <c r="C332" s="5" t="s">
        <v>368</v>
      </c>
      <c r="D332" s="7">
        <v>941</v>
      </c>
    </row>
    <row r="333" spans="1:4">
      <c r="A333" s="1" t="s">
        <v>17</v>
      </c>
      <c r="B333" s="18">
        <v>403303</v>
      </c>
      <c r="C333" s="5" t="s">
        <v>369</v>
      </c>
      <c r="D333" s="7">
        <v>1507</v>
      </c>
    </row>
    <row r="334" spans="1:4">
      <c r="A334" s="1" t="s">
        <v>17</v>
      </c>
      <c r="B334" s="18">
        <v>411301</v>
      </c>
      <c r="C334" s="5" t="s">
        <v>370</v>
      </c>
      <c r="D334" s="7">
        <v>745</v>
      </c>
    </row>
    <row r="335" spans="1:4">
      <c r="A335" s="1" t="s">
        <v>17</v>
      </c>
      <c r="B335" s="18">
        <v>411302</v>
      </c>
      <c r="C335" s="5" t="s">
        <v>371</v>
      </c>
      <c r="D335" s="7">
        <v>470</v>
      </c>
    </row>
    <row r="336" spans="1:4">
      <c r="A336" s="1" t="s">
        <v>17</v>
      </c>
      <c r="B336" s="18">
        <v>411303</v>
      </c>
      <c r="C336" s="5" t="s">
        <v>372</v>
      </c>
      <c r="D336" s="7">
        <v>269</v>
      </c>
    </row>
    <row r="337" spans="1:4">
      <c r="A337" s="1" t="s">
        <v>17</v>
      </c>
      <c r="B337" s="18">
        <v>413301</v>
      </c>
      <c r="C337" s="5" t="s">
        <v>114</v>
      </c>
      <c r="D337" s="7">
        <v>1367</v>
      </c>
    </row>
    <row r="338" spans="1:4">
      <c r="A338" s="1" t="s">
        <v>17</v>
      </c>
      <c r="B338" s="18">
        <v>413302</v>
      </c>
      <c r="C338" s="5" t="s">
        <v>373</v>
      </c>
      <c r="D338" s="7">
        <v>956</v>
      </c>
    </row>
    <row r="339" spans="1:4">
      <c r="A339" s="1" t="s">
        <v>17</v>
      </c>
      <c r="B339" s="18">
        <v>421301</v>
      </c>
      <c r="C339" s="5" t="s">
        <v>374</v>
      </c>
      <c r="D339" s="7">
        <v>1147</v>
      </c>
    </row>
    <row r="340" spans="1:4">
      <c r="A340" s="1" t="s">
        <v>17</v>
      </c>
      <c r="B340" s="18">
        <v>421302</v>
      </c>
      <c r="C340" s="5" t="s">
        <v>375</v>
      </c>
      <c r="D340" s="7">
        <v>398</v>
      </c>
    </row>
    <row r="341" spans="1:4">
      <c r="A341" s="1" t="s">
        <v>17</v>
      </c>
      <c r="B341" s="18">
        <v>421303</v>
      </c>
      <c r="C341" s="5" t="s">
        <v>620</v>
      </c>
      <c r="D341" s="7">
        <v>133</v>
      </c>
    </row>
    <row r="342" spans="1:4">
      <c r="A342" s="1" t="s">
        <v>17</v>
      </c>
      <c r="B342" s="18">
        <v>423301</v>
      </c>
      <c r="C342" s="5" t="s">
        <v>377</v>
      </c>
      <c r="D342" s="7">
        <v>1859</v>
      </c>
    </row>
    <row r="343" spans="1:4">
      <c r="A343" s="1" t="s">
        <v>17</v>
      </c>
      <c r="B343" s="18">
        <v>423302</v>
      </c>
      <c r="C343" s="5" t="s">
        <v>378</v>
      </c>
      <c r="D343" s="7">
        <v>2017</v>
      </c>
    </row>
    <row r="344" spans="1:4">
      <c r="A344" s="1" t="s">
        <v>30</v>
      </c>
      <c r="B344" s="18">
        <v>521301</v>
      </c>
      <c r="C344" s="5" t="s">
        <v>379</v>
      </c>
      <c r="D344" s="7">
        <v>328</v>
      </c>
    </row>
    <row r="345" spans="1:4">
      <c r="A345" s="1" t="s">
        <v>30</v>
      </c>
      <c r="B345" s="18">
        <v>521303</v>
      </c>
      <c r="C345" s="5" t="s">
        <v>380</v>
      </c>
      <c r="D345" s="7">
        <v>508</v>
      </c>
    </row>
    <row r="346" spans="1:4">
      <c r="A346" s="1" t="s">
        <v>30</v>
      </c>
      <c r="B346" s="18">
        <v>523301</v>
      </c>
      <c r="C346" s="5" t="s">
        <v>381</v>
      </c>
      <c r="D346" s="7">
        <v>719</v>
      </c>
    </row>
    <row r="347" spans="1:4">
      <c r="A347" s="1" t="s">
        <v>30</v>
      </c>
      <c r="B347" s="18">
        <v>533301</v>
      </c>
      <c r="C347" s="5" t="s">
        <v>382</v>
      </c>
      <c r="D347" s="7">
        <v>1554</v>
      </c>
    </row>
    <row r="348" spans="1:4">
      <c r="A348" s="1" t="s">
        <v>30</v>
      </c>
      <c r="B348" s="18">
        <v>533302</v>
      </c>
      <c r="C348" s="5" t="s">
        <v>68</v>
      </c>
      <c r="D348" s="7">
        <v>1488</v>
      </c>
    </row>
    <row r="349" spans="1:4">
      <c r="A349" s="1" t="s">
        <v>30</v>
      </c>
      <c r="B349" s="18">
        <v>540301</v>
      </c>
      <c r="C349" s="5" t="s">
        <v>383</v>
      </c>
      <c r="D349" s="7">
        <v>621</v>
      </c>
    </row>
    <row r="350" spans="1:4">
      <c r="A350" s="1" t="s">
        <v>30</v>
      </c>
      <c r="B350" s="18">
        <v>543301</v>
      </c>
      <c r="C350" s="5" t="s">
        <v>274</v>
      </c>
      <c r="D350" s="7">
        <v>1433</v>
      </c>
    </row>
    <row r="351" spans="1:4">
      <c r="A351" s="1" t="s">
        <v>30</v>
      </c>
      <c r="B351" s="18">
        <v>543302</v>
      </c>
      <c r="C351" s="5" t="s">
        <v>384</v>
      </c>
      <c r="D351" s="7">
        <v>766</v>
      </c>
    </row>
    <row r="352" spans="1:4">
      <c r="A352" s="1" t="s">
        <v>30</v>
      </c>
      <c r="B352" s="18">
        <v>551301</v>
      </c>
      <c r="C352" s="5" t="s">
        <v>385</v>
      </c>
      <c r="D352" s="7">
        <v>1370</v>
      </c>
    </row>
    <row r="353" spans="1:4">
      <c r="A353" s="1" t="s">
        <v>30</v>
      </c>
      <c r="B353" s="18">
        <v>551303</v>
      </c>
      <c r="C353" s="5" t="s">
        <v>386</v>
      </c>
      <c r="D353" s="7">
        <v>0</v>
      </c>
    </row>
    <row r="354" spans="1:4">
      <c r="A354" s="1" t="s">
        <v>30</v>
      </c>
      <c r="B354" s="18">
        <v>553301</v>
      </c>
      <c r="C354" s="5" t="s">
        <v>387</v>
      </c>
      <c r="D354" s="7">
        <v>2570</v>
      </c>
    </row>
    <row r="355" spans="1:4">
      <c r="A355" s="1" t="s">
        <v>30</v>
      </c>
      <c r="B355" s="18">
        <v>553302</v>
      </c>
      <c r="C355" s="5" t="s">
        <v>83</v>
      </c>
      <c r="D355" s="7">
        <v>1199</v>
      </c>
    </row>
    <row r="356" spans="1:4">
      <c r="A356" s="1" t="s">
        <v>30</v>
      </c>
      <c r="B356" s="18">
        <v>563301</v>
      </c>
      <c r="C356" s="5" t="s">
        <v>388</v>
      </c>
      <c r="D356" s="7">
        <v>683</v>
      </c>
    </row>
    <row r="357" spans="1:4">
      <c r="A357" s="1" t="s">
        <v>30</v>
      </c>
      <c r="B357" s="18">
        <v>573301</v>
      </c>
      <c r="C357" s="5" t="s">
        <v>389</v>
      </c>
      <c r="D357" s="7">
        <v>2265</v>
      </c>
    </row>
    <row r="358" spans="1:4">
      <c r="A358" s="1" t="s">
        <v>30</v>
      </c>
      <c r="B358" s="18">
        <v>580301</v>
      </c>
      <c r="C358" s="5" t="s">
        <v>390</v>
      </c>
      <c r="D358" s="7">
        <v>862</v>
      </c>
    </row>
    <row r="359" spans="1:4">
      <c r="A359" s="1" t="s">
        <v>30</v>
      </c>
      <c r="B359" s="18">
        <v>581301</v>
      </c>
      <c r="C359" s="5" t="s">
        <v>391</v>
      </c>
      <c r="D359" s="7">
        <v>478</v>
      </c>
    </row>
    <row r="360" spans="1:4">
      <c r="A360" s="1" t="s">
        <v>30</v>
      </c>
      <c r="B360" s="18">
        <v>581302</v>
      </c>
      <c r="C360" s="5" t="s">
        <v>392</v>
      </c>
      <c r="D360" s="7">
        <v>1925</v>
      </c>
    </row>
    <row r="361" spans="1:4">
      <c r="A361" s="1" t="s">
        <v>30</v>
      </c>
      <c r="B361" s="18">
        <v>583301</v>
      </c>
      <c r="C361" s="5" t="s">
        <v>378</v>
      </c>
      <c r="D361" s="7">
        <v>1075</v>
      </c>
    </row>
    <row r="362" spans="1:4">
      <c r="A362" s="1" t="s">
        <v>30</v>
      </c>
      <c r="B362" s="18">
        <v>593301</v>
      </c>
      <c r="C362" s="5" t="s">
        <v>393</v>
      </c>
      <c r="D362" s="7">
        <v>1525</v>
      </c>
    </row>
    <row r="363" spans="1:4">
      <c r="A363" s="1" t="s">
        <v>30</v>
      </c>
      <c r="B363" s="18">
        <v>593302</v>
      </c>
      <c r="C363" s="5" t="s">
        <v>394</v>
      </c>
      <c r="D363" s="7">
        <v>883</v>
      </c>
    </row>
    <row r="364" spans="1:4">
      <c r="A364" s="1" t="s">
        <v>30</v>
      </c>
      <c r="B364" s="18">
        <v>613301</v>
      </c>
      <c r="C364" s="5" t="s">
        <v>395</v>
      </c>
      <c r="D364" s="7">
        <v>1408</v>
      </c>
    </row>
    <row r="365" spans="1:4">
      <c r="A365" s="1" t="s">
        <v>37</v>
      </c>
      <c r="B365" s="18">
        <v>710301</v>
      </c>
      <c r="C365" s="5" t="s">
        <v>396</v>
      </c>
      <c r="D365" s="7">
        <v>954</v>
      </c>
    </row>
    <row r="366" spans="1:4">
      <c r="A366" s="1" t="s">
        <v>38</v>
      </c>
      <c r="B366" s="18">
        <v>720301</v>
      </c>
      <c r="C366" s="5" t="s">
        <v>397</v>
      </c>
      <c r="D366" s="7">
        <v>257</v>
      </c>
    </row>
    <row r="367" spans="1:4">
      <c r="A367" s="1" t="s">
        <v>19</v>
      </c>
      <c r="B367" s="19">
        <v>11405</v>
      </c>
      <c r="C367" s="5" t="s">
        <v>398</v>
      </c>
      <c r="D367" s="7">
        <v>2449</v>
      </c>
    </row>
    <row r="368" spans="1:4">
      <c r="A368" s="1" t="s">
        <v>19</v>
      </c>
      <c r="B368" s="19">
        <v>11407</v>
      </c>
      <c r="C368" s="5" t="s">
        <v>399</v>
      </c>
      <c r="D368" s="7">
        <v>3157</v>
      </c>
    </row>
    <row r="369" spans="1:4">
      <c r="A369" s="1" t="s">
        <v>19</v>
      </c>
      <c r="B369" s="19">
        <v>11408</v>
      </c>
      <c r="C369" s="5" t="s">
        <v>400</v>
      </c>
      <c r="D369" s="7">
        <v>369</v>
      </c>
    </row>
    <row r="370" spans="1:4">
      <c r="A370" s="1" t="s">
        <v>19</v>
      </c>
      <c r="B370" s="19">
        <v>11413</v>
      </c>
      <c r="C370" s="5" t="s">
        <v>401</v>
      </c>
      <c r="D370" s="7">
        <v>1357</v>
      </c>
    </row>
    <row r="371" spans="1:4">
      <c r="A371" s="1" t="s">
        <v>19</v>
      </c>
      <c r="B371" s="19">
        <v>11420</v>
      </c>
      <c r="C371" s="5" t="s">
        <v>403</v>
      </c>
      <c r="D371" s="7">
        <v>1152</v>
      </c>
    </row>
    <row r="372" spans="1:4">
      <c r="A372" s="1" t="s">
        <v>19</v>
      </c>
      <c r="B372" s="19">
        <v>11421</v>
      </c>
      <c r="C372" s="5" t="s">
        <v>404</v>
      </c>
      <c r="D372" s="7">
        <v>0</v>
      </c>
    </row>
    <row r="373" spans="1:4">
      <c r="A373" s="1" t="s">
        <v>19</v>
      </c>
      <c r="B373" s="19">
        <v>11426</v>
      </c>
      <c r="C373" s="5" t="s">
        <v>405</v>
      </c>
      <c r="D373" s="7">
        <v>1029</v>
      </c>
    </row>
    <row r="374" spans="1:4">
      <c r="A374" s="1" t="s">
        <v>19</v>
      </c>
      <c r="B374" s="19">
        <v>11427</v>
      </c>
      <c r="C374" s="5" t="s">
        <v>406</v>
      </c>
      <c r="D374" s="7">
        <v>499</v>
      </c>
    </row>
    <row r="375" spans="1:4">
      <c r="A375" s="1" t="s">
        <v>19</v>
      </c>
      <c r="B375" s="19">
        <v>11431</v>
      </c>
      <c r="C375" s="5" t="s">
        <v>407</v>
      </c>
      <c r="D375" s="7">
        <v>5733</v>
      </c>
    </row>
    <row r="376" spans="1:4">
      <c r="A376" s="1" t="s">
        <v>19</v>
      </c>
      <c r="B376" s="19">
        <v>11432</v>
      </c>
      <c r="C376" s="5" t="s">
        <v>408</v>
      </c>
      <c r="D376" s="7">
        <v>106</v>
      </c>
    </row>
    <row r="377" spans="1:4">
      <c r="A377" s="1" t="s">
        <v>19</v>
      </c>
      <c r="B377" s="19">
        <v>13402</v>
      </c>
      <c r="C377" s="5" t="s">
        <v>409</v>
      </c>
      <c r="D377" s="7">
        <v>877</v>
      </c>
    </row>
    <row r="378" spans="1:4">
      <c r="A378" s="1" t="s">
        <v>19</v>
      </c>
      <c r="B378" s="19">
        <v>13430</v>
      </c>
      <c r="C378" s="5" t="s">
        <v>410</v>
      </c>
      <c r="D378" s="7">
        <v>2131</v>
      </c>
    </row>
    <row r="379" spans="1:4">
      <c r="A379" s="1" t="s">
        <v>19</v>
      </c>
      <c r="B379" s="19">
        <v>13433</v>
      </c>
      <c r="C379" s="5" t="s">
        <v>411</v>
      </c>
      <c r="D379" s="7">
        <v>2551</v>
      </c>
    </row>
    <row r="380" spans="1:4">
      <c r="A380" s="1" t="s">
        <v>19</v>
      </c>
      <c r="B380" s="19">
        <v>13434</v>
      </c>
      <c r="C380" s="5" t="s">
        <v>412</v>
      </c>
      <c r="D380" s="7">
        <v>1975</v>
      </c>
    </row>
    <row r="381" spans="1:4">
      <c r="A381" s="1" t="s">
        <v>19</v>
      </c>
      <c r="B381" s="19">
        <v>14439</v>
      </c>
      <c r="C381" s="5" t="s">
        <v>413</v>
      </c>
      <c r="D381" s="7">
        <v>1822</v>
      </c>
    </row>
    <row r="382" spans="1:4">
      <c r="A382" s="1" t="s">
        <v>19</v>
      </c>
      <c r="B382" s="19">
        <v>14468</v>
      </c>
      <c r="C382" s="5" t="s">
        <v>414</v>
      </c>
      <c r="D382" s="7">
        <v>434</v>
      </c>
    </row>
    <row r="383" spans="1:4">
      <c r="A383" s="1" t="s">
        <v>20</v>
      </c>
      <c r="B383" s="19">
        <v>20403</v>
      </c>
      <c r="C383" s="5" t="s">
        <v>415</v>
      </c>
      <c r="D383" s="7">
        <v>1425</v>
      </c>
    </row>
    <row r="384" spans="1:4">
      <c r="A384" s="1" t="s">
        <v>20</v>
      </c>
      <c r="B384" s="19">
        <v>20404</v>
      </c>
      <c r="C384" s="5" t="s">
        <v>416</v>
      </c>
      <c r="D384" s="7">
        <v>1219</v>
      </c>
    </row>
    <row r="385" spans="1:4">
      <c r="A385" s="1" t="s">
        <v>20</v>
      </c>
      <c r="B385" s="19">
        <v>20405</v>
      </c>
      <c r="C385" s="5" t="s">
        <v>417</v>
      </c>
      <c r="D385" s="7">
        <v>330</v>
      </c>
    </row>
    <row r="386" spans="1:4">
      <c r="A386" s="1" t="s">
        <v>20</v>
      </c>
      <c r="B386" s="19">
        <v>20407</v>
      </c>
      <c r="C386" s="5" t="s">
        <v>418</v>
      </c>
      <c r="D386" s="7">
        <v>1218</v>
      </c>
    </row>
    <row r="387" spans="1:4">
      <c r="A387" s="1" t="s">
        <v>20</v>
      </c>
      <c r="B387" s="19">
        <v>20409</v>
      </c>
      <c r="C387" s="5" t="s">
        <v>419</v>
      </c>
      <c r="D387" s="7">
        <v>679</v>
      </c>
    </row>
    <row r="388" spans="1:4">
      <c r="A388" s="1" t="s">
        <v>21</v>
      </c>
      <c r="B388" s="19">
        <v>30403</v>
      </c>
      <c r="C388" s="5" t="s">
        <v>420</v>
      </c>
      <c r="D388" s="7">
        <v>2453</v>
      </c>
    </row>
    <row r="389" spans="1:4">
      <c r="A389" s="1" t="s">
        <v>21</v>
      </c>
      <c r="B389" s="19">
        <v>31414</v>
      </c>
      <c r="C389" s="5" t="s">
        <v>621</v>
      </c>
      <c r="D389" s="7">
        <v>1113</v>
      </c>
    </row>
    <row r="390" spans="1:4">
      <c r="A390" s="1" t="s">
        <v>21</v>
      </c>
      <c r="B390" s="19">
        <v>31415</v>
      </c>
      <c r="C390" s="5" t="s">
        <v>422</v>
      </c>
      <c r="D390" s="7">
        <v>116</v>
      </c>
    </row>
    <row r="391" spans="1:4">
      <c r="A391" s="1" t="s">
        <v>21</v>
      </c>
      <c r="B391" s="19">
        <v>31421</v>
      </c>
      <c r="C391" s="5" t="s">
        <v>423</v>
      </c>
      <c r="D391" s="7">
        <v>3665</v>
      </c>
    </row>
    <row r="392" spans="1:4">
      <c r="A392" s="1" t="s">
        <v>21</v>
      </c>
      <c r="B392" s="19">
        <v>33407</v>
      </c>
      <c r="C392" s="5" t="s">
        <v>424</v>
      </c>
      <c r="D392" s="7">
        <v>1897</v>
      </c>
    </row>
    <row r="393" spans="1:4">
      <c r="A393" s="1" t="s">
        <v>21</v>
      </c>
      <c r="B393" s="19">
        <v>33408</v>
      </c>
      <c r="C393" s="5" t="s">
        <v>425</v>
      </c>
      <c r="D393" s="7">
        <v>1005</v>
      </c>
    </row>
    <row r="394" spans="1:4">
      <c r="A394" s="1" t="s">
        <v>22</v>
      </c>
      <c r="B394" s="19">
        <v>41401</v>
      </c>
      <c r="C394" s="5" t="s">
        <v>426</v>
      </c>
      <c r="D394" s="7">
        <v>1089</v>
      </c>
    </row>
    <row r="395" spans="1:4">
      <c r="A395" s="1" t="s">
        <v>23</v>
      </c>
      <c r="B395" s="19">
        <v>50401</v>
      </c>
      <c r="C395" s="5" t="s">
        <v>427</v>
      </c>
      <c r="D395" s="7">
        <v>490</v>
      </c>
    </row>
    <row r="396" spans="1:4">
      <c r="A396" s="1" t="s">
        <v>23</v>
      </c>
      <c r="B396" s="19">
        <v>50404</v>
      </c>
      <c r="C396" s="5" t="s">
        <v>428</v>
      </c>
      <c r="D396" s="7">
        <v>1763</v>
      </c>
    </row>
    <row r="397" spans="1:4">
      <c r="A397" s="1" t="s">
        <v>23</v>
      </c>
      <c r="B397" s="19">
        <v>50407</v>
      </c>
      <c r="C397" s="5" t="s">
        <v>429</v>
      </c>
      <c r="D397" s="7">
        <v>957</v>
      </c>
    </row>
    <row r="398" spans="1:4">
      <c r="A398" s="1" t="s">
        <v>23</v>
      </c>
      <c r="B398" s="19">
        <v>51408</v>
      </c>
      <c r="C398" s="5" t="s">
        <v>430</v>
      </c>
      <c r="D398" s="7">
        <v>607</v>
      </c>
    </row>
    <row r="399" spans="1:4">
      <c r="A399" s="1" t="s">
        <v>23</v>
      </c>
      <c r="B399" s="19">
        <v>51411</v>
      </c>
      <c r="C399" s="5" t="s">
        <v>431</v>
      </c>
      <c r="D399" s="7">
        <v>0</v>
      </c>
    </row>
    <row r="400" spans="1:4">
      <c r="A400" s="1" t="s">
        <v>23</v>
      </c>
      <c r="B400" s="19">
        <v>51413</v>
      </c>
      <c r="C400" s="5" t="s">
        <v>433</v>
      </c>
      <c r="D400" s="7">
        <v>113</v>
      </c>
    </row>
    <row r="401" spans="1:4">
      <c r="A401" s="1" t="s">
        <v>24</v>
      </c>
      <c r="B401" s="19">
        <v>63401</v>
      </c>
      <c r="C401" s="5" t="s">
        <v>434</v>
      </c>
      <c r="D401" s="7">
        <v>1538</v>
      </c>
    </row>
    <row r="402" spans="1:4">
      <c r="A402" s="1" t="s">
        <v>24</v>
      </c>
      <c r="B402" s="19">
        <v>63402</v>
      </c>
      <c r="C402" s="5" t="s">
        <v>435</v>
      </c>
      <c r="D402" s="7">
        <v>1417</v>
      </c>
    </row>
    <row r="403" spans="1:4">
      <c r="A403" s="1" t="s">
        <v>24</v>
      </c>
      <c r="B403" s="19">
        <v>63404</v>
      </c>
      <c r="C403" s="5" t="s">
        <v>436</v>
      </c>
      <c r="D403" s="7">
        <v>1492</v>
      </c>
    </row>
    <row r="404" spans="1:4">
      <c r="A404" s="1" t="s">
        <v>24</v>
      </c>
      <c r="B404" s="19">
        <v>63407</v>
      </c>
      <c r="C404" s="5" t="s">
        <v>437</v>
      </c>
      <c r="D404" s="7">
        <v>1799</v>
      </c>
    </row>
    <row r="405" spans="1:4">
      <c r="A405" s="1" t="s">
        <v>24</v>
      </c>
      <c r="B405" s="19">
        <v>63408</v>
      </c>
      <c r="C405" s="5" t="s">
        <v>438</v>
      </c>
      <c r="D405" s="7">
        <v>1315</v>
      </c>
    </row>
    <row r="406" spans="1:4">
      <c r="A406" s="1" t="s">
        <v>24</v>
      </c>
      <c r="B406" s="19">
        <v>64406</v>
      </c>
      <c r="C406" s="5" t="s">
        <v>439</v>
      </c>
      <c r="D406" s="7">
        <v>299</v>
      </c>
    </row>
    <row r="407" spans="1:4">
      <c r="A407" s="1" t="s">
        <v>25</v>
      </c>
      <c r="B407" s="19">
        <v>70401</v>
      </c>
      <c r="C407" s="5" t="s">
        <v>440</v>
      </c>
      <c r="D407" s="7">
        <v>1967</v>
      </c>
    </row>
    <row r="408" spans="1:4">
      <c r="A408" s="1" t="s">
        <v>25</v>
      </c>
      <c r="B408" s="19">
        <v>70402</v>
      </c>
      <c r="C408" s="5" t="s">
        <v>441</v>
      </c>
      <c r="D408" s="7">
        <v>1150</v>
      </c>
    </row>
    <row r="409" spans="1:4">
      <c r="A409" s="1" t="s">
        <v>25</v>
      </c>
      <c r="B409" s="19">
        <v>70403</v>
      </c>
      <c r="C409" s="5" t="s">
        <v>442</v>
      </c>
      <c r="D409" s="7">
        <v>1071</v>
      </c>
    </row>
    <row r="410" spans="1:4">
      <c r="A410" s="1" t="s">
        <v>25</v>
      </c>
      <c r="B410" s="19">
        <v>70405</v>
      </c>
      <c r="C410" s="5" t="s">
        <v>443</v>
      </c>
      <c r="D410" s="7">
        <v>1491</v>
      </c>
    </row>
    <row r="411" spans="1:4">
      <c r="A411" s="1" t="s">
        <v>25</v>
      </c>
      <c r="B411" s="19">
        <v>70406</v>
      </c>
      <c r="C411" s="5" t="s">
        <v>444</v>
      </c>
      <c r="D411" s="7">
        <v>2007</v>
      </c>
    </row>
    <row r="412" spans="1:4">
      <c r="A412" s="1" t="s">
        <v>25</v>
      </c>
      <c r="B412" s="19">
        <v>70408</v>
      </c>
      <c r="C412" s="5" t="s">
        <v>445</v>
      </c>
      <c r="D412" s="7">
        <v>1446</v>
      </c>
    </row>
    <row r="413" spans="1:4">
      <c r="A413" s="1" t="s">
        <v>25</v>
      </c>
      <c r="B413" s="19">
        <v>70409</v>
      </c>
      <c r="C413" s="5" t="s">
        <v>446</v>
      </c>
      <c r="D413" s="7">
        <v>1099</v>
      </c>
    </row>
    <row r="414" spans="1:4">
      <c r="A414" s="1" t="s">
        <v>25</v>
      </c>
      <c r="B414" s="19">
        <v>70410</v>
      </c>
      <c r="C414" s="5" t="s">
        <v>447</v>
      </c>
      <c r="D414" s="7">
        <v>1187</v>
      </c>
    </row>
    <row r="415" spans="1:4">
      <c r="A415" s="1" t="s">
        <v>25</v>
      </c>
      <c r="B415" s="19">
        <v>70415</v>
      </c>
      <c r="C415" s="5" t="s">
        <v>448</v>
      </c>
      <c r="D415" s="7">
        <v>1400</v>
      </c>
    </row>
    <row r="416" spans="1:4">
      <c r="A416" s="1" t="s">
        <v>25</v>
      </c>
      <c r="B416" s="19">
        <v>71413</v>
      </c>
      <c r="C416" s="5" t="s">
        <v>449</v>
      </c>
      <c r="D416" s="7">
        <v>130</v>
      </c>
    </row>
    <row r="417" spans="1:4">
      <c r="A417" s="1" t="s">
        <v>25</v>
      </c>
      <c r="B417" s="19">
        <v>71414</v>
      </c>
      <c r="C417" s="5" t="s">
        <v>450</v>
      </c>
      <c r="D417" s="7">
        <v>1572</v>
      </c>
    </row>
    <row r="418" spans="1:4">
      <c r="A418" s="1" t="s">
        <v>26</v>
      </c>
      <c r="B418" s="19">
        <v>80401</v>
      </c>
      <c r="C418" s="5" t="s">
        <v>451</v>
      </c>
      <c r="D418" s="7">
        <v>168</v>
      </c>
    </row>
    <row r="419" spans="1:4">
      <c r="A419" s="1" t="s">
        <v>26</v>
      </c>
      <c r="B419" s="19">
        <v>80403</v>
      </c>
      <c r="C419" s="5" t="s">
        <v>452</v>
      </c>
      <c r="D419" s="7">
        <v>560</v>
      </c>
    </row>
    <row r="420" spans="1:4">
      <c r="A420" s="1" t="s">
        <v>26</v>
      </c>
      <c r="B420" s="19">
        <v>80404</v>
      </c>
      <c r="C420" s="5" t="s">
        <v>453</v>
      </c>
      <c r="D420" s="7">
        <v>421</v>
      </c>
    </row>
    <row r="421" spans="1:4">
      <c r="A421" s="1" t="s">
        <v>26</v>
      </c>
      <c r="B421" s="19">
        <v>80406</v>
      </c>
      <c r="C421" s="5" t="s">
        <v>454</v>
      </c>
      <c r="D421" s="7">
        <v>1186</v>
      </c>
    </row>
    <row r="422" spans="1:4">
      <c r="A422" s="1" t="s">
        <v>26</v>
      </c>
      <c r="B422" s="19">
        <v>80410</v>
      </c>
      <c r="C422" s="5" t="s">
        <v>455</v>
      </c>
      <c r="D422" s="7">
        <v>586</v>
      </c>
    </row>
    <row r="423" spans="1:4">
      <c r="A423" s="1" t="s">
        <v>26</v>
      </c>
      <c r="B423" s="19">
        <v>81409</v>
      </c>
      <c r="C423" s="5" t="s">
        <v>456</v>
      </c>
      <c r="D423" s="7">
        <v>449</v>
      </c>
    </row>
    <row r="424" spans="1:4">
      <c r="A424" s="1" t="s">
        <v>27</v>
      </c>
      <c r="B424" s="19">
        <v>90401</v>
      </c>
      <c r="C424" s="5" t="s">
        <v>457</v>
      </c>
      <c r="D424" s="7">
        <v>1139</v>
      </c>
    </row>
    <row r="425" spans="1:4">
      <c r="A425" s="1" t="s">
        <v>27</v>
      </c>
      <c r="B425" s="19">
        <v>90402</v>
      </c>
      <c r="C425" s="5" t="s">
        <v>458</v>
      </c>
      <c r="D425" s="7">
        <v>1438</v>
      </c>
    </row>
    <row r="426" spans="1:4">
      <c r="A426" s="1" t="s">
        <v>27</v>
      </c>
      <c r="B426" s="19">
        <v>90403</v>
      </c>
      <c r="C426" s="5" t="s">
        <v>459</v>
      </c>
      <c r="D426" s="7">
        <v>971</v>
      </c>
    </row>
    <row r="427" spans="1:4">
      <c r="A427" s="1" t="s">
        <v>27</v>
      </c>
      <c r="B427" s="19">
        <v>90404</v>
      </c>
      <c r="C427" s="5" t="s">
        <v>460</v>
      </c>
      <c r="D427" s="7">
        <v>729</v>
      </c>
    </row>
    <row r="428" spans="1:4">
      <c r="A428" s="1" t="s">
        <v>27</v>
      </c>
      <c r="B428" s="19">
        <v>90413</v>
      </c>
      <c r="C428" s="5" t="s">
        <v>461</v>
      </c>
      <c r="D428" s="7">
        <v>915</v>
      </c>
    </row>
    <row r="429" spans="1:4">
      <c r="A429" s="1" t="s">
        <v>27</v>
      </c>
      <c r="B429" s="19">
        <v>91410</v>
      </c>
      <c r="C429" s="5" t="s">
        <v>462</v>
      </c>
      <c r="D429" s="7">
        <v>406</v>
      </c>
    </row>
    <row r="430" spans="1:4">
      <c r="A430" s="1" t="s">
        <v>27</v>
      </c>
      <c r="B430" s="19">
        <v>91414</v>
      </c>
      <c r="C430" s="5" t="s">
        <v>463</v>
      </c>
      <c r="D430" s="7">
        <v>310</v>
      </c>
    </row>
    <row r="431" spans="1:4">
      <c r="A431" s="1" t="s">
        <v>28</v>
      </c>
      <c r="B431" s="18">
        <v>100402</v>
      </c>
      <c r="C431" s="5" t="s">
        <v>464</v>
      </c>
      <c r="D431" s="7">
        <v>765</v>
      </c>
    </row>
    <row r="432" spans="1:4">
      <c r="A432" s="1" t="s">
        <v>28</v>
      </c>
      <c r="B432" s="18">
        <v>101406</v>
      </c>
      <c r="C432" s="5" t="s">
        <v>466</v>
      </c>
      <c r="D432" s="7">
        <v>1064</v>
      </c>
    </row>
    <row r="433" spans="1:4">
      <c r="A433" s="1" t="s">
        <v>29</v>
      </c>
      <c r="B433" s="18">
        <v>110401</v>
      </c>
      <c r="C433" s="5" t="s">
        <v>467</v>
      </c>
      <c r="D433" s="7">
        <v>1119</v>
      </c>
    </row>
    <row r="434" spans="1:4">
      <c r="A434" s="1" t="s">
        <v>29</v>
      </c>
      <c r="B434" s="18">
        <v>110403</v>
      </c>
      <c r="C434" s="5" t="s">
        <v>468</v>
      </c>
      <c r="D434" s="7">
        <v>341</v>
      </c>
    </row>
    <row r="435" spans="1:4">
      <c r="A435" s="1" t="s">
        <v>29</v>
      </c>
      <c r="B435" s="18">
        <v>110404</v>
      </c>
      <c r="C435" s="5" t="s">
        <v>469</v>
      </c>
      <c r="D435" s="7">
        <v>1188</v>
      </c>
    </row>
    <row r="436" spans="1:4">
      <c r="A436" s="1" t="s">
        <v>29</v>
      </c>
      <c r="B436" s="18">
        <v>110405</v>
      </c>
      <c r="C436" s="5" t="s">
        <v>470</v>
      </c>
      <c r="D436" s="7">
        <v>860</v>
      </c>
    </row>
    <row r="437" spans="1:4">
      <c r="A437" s="1" t="s">
        <v>29</v>
      </c>
      <c r="B437" s="18">
        <v>110406</v>
      </c>
      <c r="C437" s="5" t="s">
        <v>471</v>
      </c>
      <c r="D437" s="7">
        <v>837</v>
      </c>
    </row>
    <row r="438" spans="1:4">
      <c r="A438" s="1" t="s">
        <v>29</v>
      </c>
      <c r="B438" s="18">
        <v>110407</v>
      </c>
      <c r="C438" s="5" t="s">
        <v>472</v>
      </c>
      <c r="D438" s="7">
        <v>394</v>
      </c>
    </row>
    <row r="439" spans="1:4">
      <c r="A439" s="1" t="s">
        <v>29</v>
      </c>
      <c r="B439" s="18">
        <v>110409</v>
      </c>
      <c r="C439" s="5" t="s">
        <v>622</v>
      </c>
      <c r="D439" s="7">
        <v>2543</v>
      </c>
    </row>
    <row r="440" spans="1:4">
      <c r="A440" s="1" t="s">
        <v>29</v>
      </c>
      <c r="B440" s="18">
        <v>110410</v>
      </c>
      <c r="C440" s="5" t="s">
        <v>474</v>
      </c>
      <c r="D440" s="7">
        <v>932</v>
      </c>
    </row>
    <row r="441" spans="1:4">
      <c r="A441" s="1" t="s">
        <v>29</v>
      </c>
      <c r="B441" s="18">
        <v>111419</v>
      </c>
      <c r="C441" s="5" t="s">
        <v>475</v>
      </c>
      <c r="D441" s="7">
        <v>135</v>
      </c>
    </row>
    <row r="442" spans="1:4">
      <c r="A442" s="1" t="s">
        <v>29</v>
      </c>
      <c r="B442" s="18">
        <v>111427</v>
      </c>
      <c r="C442" s="5" t="s">
        <v>476</v>
      </c>
      <c r="D442" s="7">
        <v>375</v>
      </c>
    </row>
    <row r="443" spans="1:4">
      <c r="A443" s="1" t="s">
        <v>30</v>
      </c>
      <c r="B443" s="18">
        <v>120401</v>
      </c>
      <c r="C443" s="5" t="s">
        <v>477</v>
      </c>
      <c r="D443" s="7">
        <v>507</v>
      </c>
    </row>
    <row r="444" spans="1:4">
      <c r="A444" s="1" t="s">
        <v>30</v>
      </c>
      <c r="B444" s="18">
        <v>120402</v>
      </c>
      <c r="C444" s="5" t="s">
        <v>478</v>
      </c>
      <c r="D444" s="7">
        <v>1560</v>
      </c>
    </row>
    <row r="445" spans="1:4">
      <c r="A445" s="1" t="s">
        <v>30</v>
      </c>
      <c r="B445" s="18">
        <v>120409</v>
      </c>
      <c r="C445" s="5" t="s">
        <v>479</v>
      </c>
      <c r="D445" s="7">
        <v>2065</v>
      </c>
    </row>
    <row r="446" spans="1:4">
      <c r="A446" s="1" t="s">
        <v>30</v>
      </c>
      <c r="B446" s="18">
        <v>121405</v>
      </c>
      <c r="C446" s="5" t="s">
        <v>480</v>
      </c>
      <c r="D446" s="7">
        <v>6709</v>
      </c>
    </row>
    <row r="447" spans="1:4">
      <c r="A447" s="1" t="s">
        <v>30</v>
      </c>
      <c r="B447" s="18">
        <v>121410</v>
      </c>
      <c r="C447" s="5" t="s">
        <v>481</v>
      </c>
      <c r="D447" s="7">
        <v>65</v>
      </c>
    </row>
    <row r="448" spans="1:4">
      <c r="A448" s="1" t="s">
        <v>30</v>
      </c>
      <c r="B448" s="18">
        <v>121413</v>
      </c>
      <c r="C448" s="5" t="s">
        <v>482</v>
      </c>
      <c r="D448" s="7">
        <v>753</v>
      </c>
    </row>
    <row r="449" spans="1:4">
      <c r="A449" s="1" t="s">
        <v>30</v>
      </c>
      <c r="B449" s="18">
        <v>121415</v>
      </c>
      <c r="C449" s="5" t="s">
        <v>483</v>
      </c>
      <c r="D449" s="7">
        <v>392</v>
      </c>
    </row>
    <row r="450" spans="1:4">
      <c r="A450" s="1" t="s">
        <v>30</v>
      </c>
      <c r="B450" s="18">
        <v>121417</v>
      </c>
      <c r="C450" s="5" t="s">
        <v>484</v>
      </c>
      <c r="D450" s="7">
        <v>1345</v>
      </c>
    </row>
    <row r="451" spans="1:4">
      <c r="A451" s="1" t="s">
        <v>31</v>
      </c>
      <c r="B451" s="18">
        <v>130401</v>
      </c>
      <c r="C451" s="5" t="s">
        <v>485</v>
      </c>
      <c r="D451" s="7">
        <v>464</v>
      </c>
    </row>
    <row r="452" spans="1:4">
      <c r="A452" s="1" t="s">
        <v>31</v>
      </c>
      <c r="B452" s="18">
        <v>130403</v>
      </c>
      <c r="C452" s="5" t="s">
        <v>486</v>
      </c>
      <c r="D452" s="7">
        <v>1648</v>
      </c>
    </row>
    <row r="453" spans="1:4">
      <c r="A453" s="1" t="s">
        <v>31</v>
      </c>
      <c r="B453" s="18">
        <v>130404</v>
      </c>
      <c r="C453" s="5" t="s">
        <v>487</v>
      </c>
      <c r="D453" s="7">
        <v>641</v>
      </c>
    </row>
    <row r="454" spans="1:4">
      <c r="A454" s="1" t="s">
        <v>31</v>
      </c>
      <c r="B454" s="18">
        <v>130410</v>
      </c>
      <c r="C454" s="5" t="s">
        <v>488</v>
      </c>
      <c r="D454" s="7">
        <v>615</v>
      </c>
    </row>
    <row r="455" spans="1:4">
      <c r="A455" s="1" t="s">
        <v>31</v>
      </c>
      <c r="B455" s="18">
        <v>130417</v>
      </c>
      <c r="C455" s="5" t="s">
        <v>489</v>
      </c>
      <c r="D455" s="7">
        <v>432</v>
      </c>
    </row>
    <row r="456" spans="1:4">
      <c r="A456" s="1" t="s">
        <v>31</v>
      </c>
      <c r="B456" s="18">
        <v>131409</v>
      </c>
      <c r="C456" s="5" t="s">
        <v>490</v>
      </c>
      <c r="D456" s="7">
        <v>267</v>
      </c>
    </row>
    <row r="457" spans="1:4">
      <c r="A457" s="1" t="s">
        <v>31</v>
      </c>
      <c r="B457" s="18">
        <v>131418</v>
      </c>
      <c r="C457" s="5" t="s">
        <v>491</v>
      </c>
      <c r="D457" s="7">
        <v>0</v>
      </c>
    </row>
    <row r="458" spans="1:4">
      <c r="A458" s="1" t="s">
        <v>18</v>
      </c>
      <c r="B458" s="18">
        <v>140404</v>
      </c>
      <c r="C458" s="5" t="s">
        <v>492</v>
      </c>
      <c r="D458" s="7">
        <v>181</v>
      </c>
    </row>
    <row r="459" spans="1:4">
      <c r="A459" s="1" t="s">
        <v>18</v>
      </c>
      <c r="B459" s="18">
        <v>140405</v>
      </c>
      <c r="C459" s="5" t="s">
        <v>493</v>
      </c>
      <c r="D459" s="7">
        <v>851</v>
      </c>
    </row>
    <row r="460" spans="1:4">
      <c r="A460" s="1" t="s">
        <v>18</v>
      </c>
      <c r="B460" s="18">
        <v>140408</v>
      </c>
      <c r="C460" s="5" t="s">
        <v>494</v>
      </c>
      <c r="D460" s="7">
        <v>104</v>
      </c>
    </row>
    <row r="461" spans="1:4">
      <c r="A461" s="1" t="s">
        <v>18</v>
      </c>
      <c r="B461" s="18">
        <v>141406</v>
      </c>
      <c r="C461" s="5" t="s">
        <v>495</v>
      </c>
      <c r="D461" s="7">
        <v>410</v>
      </c>
    </row>
    <row r="462" spans="1:4">
      <c r="A462" s="1" t="s">
        <v>32</v>
      </c>
      <c r="B462" s="18">
        <v>150401</v>
      </c>
      <c r="C462" s="5" t="s">
        <v>496</v>
      </c>
      <c r="D462" s="7">
        <v>599</v>
      </c>
    </row>
    <row r="463" spans="1:4">
      <c r="A463" s="1" t="s">
        <v>32</v>
      </c>
      <c r="B463" s="18">
        <v>150404</v>
      </c>
      <c r="C463" s="5" t="s">
        <v>497</v>
      </c>
      <c r="D463" s="7">
        <v>761</v>
      </c>
    </row>
    <row r="464" spans="1:4">
      <c r="A464" s="1" t="s">
        <v>32</v>
      </c>
      <c r="B464" s="18">
        <v>150405</v>
      </c>
      <c r="C464" s="5" t="s">
        <v>498</v>
      </c>
      <c r="D464" s="7">
        <v>771</v>
      </c>
    </row>
    <row r="465" spans="1:4">
      <c r="A465" s="1" t="s">
        <v>32</v>
      </c>
      <c r="B465" s="18">
        <v>150411</v>
      </c>
      <c r="C465" s="5" t="s">
        <v>499</v>
      </c>
      <c r="D465" s="7">
        <v>169</v>
      </c>
    </row>
    <row r="466" spans="1:4">
      <c r="A466" s="1" t="s">
        <v>32</v>
      </c>
      <c r="B466" s="18">
        <v>151410</v>
      </c>
      <c r="C466" s="5" t="s">
        <v>500</v>
      </c>
      <c r="D466" s="7">
        <v>257</v>
      </c>
    </row>
    <row r="467" spans="1:4">
      <c r="A467" s="1" t="s">
        <v>33</v>
      </c>
      <c r="B467" s="18">
        <v>160401</v>
      </c>
      <c r="C467" s="5" t="s">
        <v>501</v>
      </c>
      <c r="D467" s="7">
        <v>556</v>
      </c>
    </row>
    <row r="468" spans="1:4">
      <c r="A468" s="1" t="s">
        <v>34</v>
      </c>
      <c r="B468" s="18">
        <v>170403</v>
      </c>
      <c r="C468" s="5" t="s">
        <v>502</v>
      </c>
      <c r="D468" s="7">
        <v>998</v>
      </c>
    </row>
    <row r="469" spans="1:4">
      <c r="A469" s="1" t="s">
        <v>34</v>
      </c>
      <c r="B469" s="18">
        <v>170404</v>
      </c>
      <c r="C469" s="5" t="s">
        <v>503</v>
      </c>
      <c r="D469" s="7">
        <v>1187</v>
      </c>
    </row>
    <row r="470" spans="1:4">
      <c r="A470" s="1" t="s">
        <v>34</v>
      </c>
      <c r="B470" s="18">
        <v>171405</v>
      </c>
      <c r="C470" s="5" t="s">
        <v>504</v>
      </c>
      <c r="D470" s="7">
        <v>130</v>
      </c>
    </row>
    <row r="471" spans="1:4">
      <c r="A471" s="1" t="s">
        <v>34</v>
      </c>
      <c r="B471" s="18">
        <v>171407</v>
      </c>
      <c r="C471" s="5" t="s">
        <v>505</v>
      </c>
      <c r="D471" s="7">
        <v>73</v>
      </c>
    </row>
    <row r="472" spans="1:4">
      <c r="A472" s="1" t="s">
        <v>35</v>
      </c>
      <c r="B472" s="18">
        <v>180403</v>
      </c>
      <c r="C472" s="5" t="s">
        <v>506</v>
      </c>
      <c r="D472" s="7">
        <v>1480</v>
      </c>
    </row>
    <row r="473" spans="1:4">
      <c r="A473" s="1" t="s">
        <v>35</v>
      </c>
      <c r="B473" s="18">
        <v>180404</v>
      </c>
      <c r="C473" s="5" t="s">
        <v>507</v>
      </c>
      <c r="D473" s="7">
        <v>1528</v>
      </c>
    </row>
    <row r="474" spans="1:4">
      <c r="A474" s="1" t="s">
        <v>24</v>
      </c>
      <c r="B474" s="18">
        <v>190406</v>
      </c>
      <c r="C474" s="5" t="s">
        <v>508</v>
      </c>
      <c r="D474" s="7">
        <v>2101</v>
      </c>
    </row>
    <row r="475" spans="1:4">
      <c r="A475" s="1" t="s">
        <v>24</v>
      </c>
      <c r="B475" s="18">
        <v>191412</v>
      </c>
      <c r="C475" s="5" t="s">
        <v>509</v>
      </c>
      <c r="D475" s="7">
        <v>104</v>
      </c>
    </row>
    <row r="476" spans="1:4">
      <c r="A476" s="1" t="s">
        <v>24</v>
      </c>
      <c r="B476" s="18">
        <v>193404</v>
      </c>
      <c r="C476" s="5" t="s">
        <v>510</v>
      </c>
      <c r="D476" s="7">
        <v>2041</v>
      </c>
    </row>
    <row r="477" spans="1:4">
      <c r="A477" s="1" t="s">
        <v>24</v>
      </c>
      <c r="B477" s="18">
        <v>193407</v>
      </c>
      <c r="C477" s="5" t="s">
        <v>511</v>
      </c>
      <c r="D477" s="7">
        <v>3168</v>
      </c>
    </row>
    <row r="478" spans="1:4">
      <c r="A478" s="1" t="s">
        <v>36</v>
      </c>
      <c r="B478" s="18">
        <v>200401</v>
      </c>
      <c r="C478" s="5" t="s">
        <v>512</v>
      </c>
      <c r="D478" s="7">
        <v>1223</v>
      </c>
    </row>
    <row r="479" spans="1:4">
      <c r="A479" s="1" t="s">
        <v>36</v>
      </c>
      <c r="B479" s="18">
        <v>200405</v>
      </c>
      <c r="C479" s="5" t="s">
        <v>513</v>
      </c>
      <c r="D479" s="7">
        <v>2356</v>
      </c>
    </row>
    <row r="480" spans="1:4">
      <c r="A480" s="1" t="s">
        <v>36</v>
      </c>
      <c r="B480" s="18">
        <v>200406</v>
      </c>
      <c r="C480" s="5" t="s">
        <v>514</v>
      </c>
      <c r="D480" s="7">
        <v>1352</v>
      </c>
    </row>
    <row r="481" spans="1:4">
      <c r="A481" s="1" t="s">
        <v>36</v>
      </c>
      <c r="B481" s="18">
        <v>200407</v>
      </c>
      <c r="C481" s="5" t="s">
        <v>515</v>
      </c>
      <c r="D481" s="7">
        <v>997</v>
      </c>
    </row>
    <row r="482" spans="1:4">
      <c r="A482" s="1" t="s">
        <v>36</v>
      </c>
      <c r="B482" s="18">
        <v>201408</v>
      </c>
      <c r="C482" s="5" t="s">
        <v>516</v>
      </c>
      <c r="D482" s="7">
        <v>2089</v>
      </c>
    </row>
    <row r="483" spans="1:4">
      <c r="A483" s="1" t="s">
        <v>29</v>
      </c>
      <c r="B483" s="18">
        <v>210408</v>
      </c>
      <c r="C483" s="5" t="s">
        <v>517</v>
      </c>
      <c r="D483" s="7">
        <v>1798</v>
      </c>
    </row>
    <row r="484" spans="1:4">
      <c r="A484" s="1" t="s">
        <v>29</v>
      </c>
      <c r="B484" s="18">
        <v>210416</v>
      </c>
      <c r="C484" s="5" t="s">
        <v>518</v>
      </c>
      <c r="D484" s="7">
        <v>859</v>
      </c>
    </row>
    <row r="485" spans="1:4">
      <c r="A485" s="1" t="s">
        <v>29</v>
      </c>
      <c r="B485" s="18">
        <v>211407</v>
      </c>
      <c r="C485" s="5" t="s">
        <v>519</v>
      </c>
      <c r="D485" s="7">
        <v>876</v>
      </c>
    </row>
    <row r="486" spans="1:4">
      <c r="A486" s="1" t="s">
        <v>29</v>
      </c>
      <c r="B486" s="18">
        <v>211412</v>
      </c>
      <c r="C486" s="5" t="s">
        <v>520</v>
      </c>
      <c r="D486" s="7">
        <v>785</v>
      </c>
    </row>
    <row r="487" spans="1:4">
      <c r="A487" s="1" t="s">
        <v>29</v>
      </c>
      <c r="B487" s="18">
        <v>211419</v>
      </c>
      <c r="C487" s="5" t="s">
        <v>521</v>
      </c>
      <c r="D487" s="7">
        <v>654</v>
      </c>
    </row>
    <row r="488" spans="1:4">
      <c r="A488" s="1" t="s">
        <v>17</v>
      </c>
      <c r="B488" s="18">
        <v>311401</v>
      </c>
      <c r="C488" s="5" t="s">
        <v>623</v>
      </c>
      <c r="D488" s="7">
        <v>1629</v>
      </c>
    </row>
    <row r="489" spans="1:4">
      <c r="A489" s="1" t="s">
        <v>17</v>
      </c>
      <c r="B489" s="18">
        <v>323401</v>
      </c>
      <c r="C489" s="5" t="s">
        <v>523</v>
      </c>
      <c r="D489" s="7">
        <v>1822</v>
      </c>
    </row>
    <row r="490" spans="1:4">
      <c r="A490" s="1" t="s">
        <v>17</v>
      </c>
      <c r="B490" s="18">
        <v>323402</v>
      </c>
      <c r="C490" s="5" t="s">
        <v>524</v>
      </c>
      <c r="D490" s="7">
        <v>2183</v>
      </c>
    </row>
    <row r="491" spans="1:4">
      <c r="A491" s="1" t="s">
        <v>17</v>
      </c>
      <c r="B491" s="18">
        <v>331402</v>
      </c>
      <c r="C491" s="5" t="s">
        <v>525</v>
      </c>
      <c r="D491" s="7">
        <v>51</v>
      </c>
    </row>
    <row r="492" spans="1:4">
      <c r="A492" s="1" t="s">
        <v>17</v>
      </c>
      <c r="B492" s="18">
        <v>331403</v>
      </c>
      <c r="C492" s="5" t="s">
        <v>526</v>
      </c>
      <c r="D492" s="7">
        <v>258</v>
      </c>
    </row>
    <row r="493" spans="1:4">
      <c r="A493" s="1" t="s">
        <v>17</v>
      </c>
      <c r="B493" s="18">
        <v>331404</v>
      </c>
      <c r="C493" s="5" t="s">
        <v>527</v>
      </c>
      <c r="D493" s="7">
        <v>589</v>
      </c>
    </row>
    <row r="494" spans="1:4">
      <c r="A494" s="1" t="s">
        <v>17</v>
      </c>
      <c r="B494" s="18">
        <v>333401</v>
      </c>
      <c r="C494" s="5" t="s">
        <v>528</v>
      </c>
      <c r="D494" s="7">
        <v>2933</v>
      </c>
    </row>
    <row r="495" spans="1:4">
      <c r="A495" s="1" t="s">
        <v>17</v>
      </c>
      <c r="B495" s="18">
        <v>341402</v>
      </c>
      <c r="C495" s="5" t="s">
        <v>529</v>
      </c>
      <c r="D495" s="7">
        <v>1036</v>
      </c>
    </row>
    <row r="496" spans="1:4">
      <c r="A496" s="1" t="s">
        <v>17</v>
      </c>
      <c r="B496" s="18">
        <v>351402</v>
      </c>
      <c r="C496" s="5" t="s">
        <v>530</v>
      </c>
      <c r="D496" s="7">
        <v>1001</v>
      </c>
    </row>
    <row r="497" spans="1:4">
      <c r="A497" s="1" t="s">
        <v>17</v>
      </c>
      <c r="B497" s="18">
        <v>361401</v>
      </c>
      <c r="C497" s="5" t="s">
        <v>531</v>
      </c>
      <c r="D497" s="7">
        <v>1026</v>
      </c>
    </row>
    <row r="498" spans="1:4">
      <c r="A498" s="1" t="s">
        <v>17</v>
      </c>
      <c r="B498" s="18">
        <v>383401</v>
      </c>
      <c r="C498" s="5" t="s">
        <v>532</v>
      </c>
      <c r="D498" s="7">
        <v>1591</v>
      </c>
    </row>
    <row r="499" spans="1:4">
      <c r="A499" s="1" t="s">
        <v>17</v>
      </c>
      <c r="B499" s="18">
        <v>393401</v>
      </c>
      <c r="C499" s="5" t="s">
        <v>533</v>
      </c>
      <c r="D499" s="7">
        <v>2023</v>
      </c>
    </row>
    <row r="500" spans="1:4">
      <c r="A500" s="1" t="s">
        <v>17</v>
      </c>
      <c r="B500" s="18">
        <v>403401</v>
      </c>
      <c r="C500" s="5" t="s">
        <v>534</v>
      </c>
      <c r="D500" s="7">
        <v>1849</v>
      </c>
    </row>
    <row r="501" spans="1:4">
      <c r="A501" s="1" t="s">
        <v>17</v>
      </c>
      <c r="B501" s="18">
        <v>411401</v>
      </c>
      <c r="C501" s="5" t="s">
        <v>535</v>
      </c>
      <c r="D501" s="7">
        <v>689</v>
      </c>
    </row>
    <row r="502" spans="1:4">
      <c r="A502" s="1" t="s">
        <v>17</v>
      </c>
      <c r="B502" s="18">
        <v>413401</v>
      </c>
      <c r="C502" s="5" t="s">
        <v>536</v>
      </c>
      <c r="D502" s="7">
        <v>2111</v>
      </c>
    </row>
    <row r="503" spans="1:4">
      <c r="A503" s="1" t="s">
        <v>17</v>
      </c>
      <c r="B503" s="18">
        <v>421404</v>
      </c>
      <c r="C503" s="5" t="s">
        <v>537</v>
      </c>
      <c r="D503" s="7">
        <v>307</v>
      </c>
    </row>
    <row r="504" spans="1:4">
      <c r="A504" s="1" t="s">
        <v>30</v>
      </c>
      <c r="B504" s="18">
        <v>521401</v>
      </c>
      <c r="C504" s="5" t="s">
        <v>538</v>
      </c>
      <c r="D504" s="7">
        <v>610</v>
      </c>
    </row>
    <row r="505" spans="1:4">
      <c r="A505" s="1" t="s">
        <v>30</v>
      </c>
      <c r="B505" s="18">
        <v>533401</v>
      </c>
      <c r="C505" s="5" t="s">
        <v>539</v>
      </c>
      <c r="D505" s="7">
        <v>1697</v>
      </c>
    </row>
    <row r="506" spans="1:4">
      <c r="A506" s="1" t="s">
        <v>30</v>
      </c>
      <c r="B506" s="18">
        <v>533402</v>
      </c>
      <c r="C506" s="5" t="s">
        <v>540</v>
      </c>
      <c r="D506" s="7">
        <v>1672</v>
      </c>
    </row>
    <row r="507" spans="1:4">
      <c r="A507" s="1" t="s">
        <v>30</v>
      </c>
      <c r="B507" s="18">
        <v>551402</v>
      </c>
      <c r="C507" s="5" t="s">
        <v>541</v>
      </c>
      <c r="D507" s="7">
        <v>4402</v>
      </c>
    </row>
    <row r="508" spans="1:4">
      <c r="A508" s="1" t="s">
        <v>30</v>
      </c>
      <c r="B508" s="18">
        <v>553401</v>
      </c>
      <c r="C508" s="5" t="s">
        <v>542</v>
      </c>
      <c r="D508" s="7">
        <v>2593</v>
      </c>
    </row>
    <row r="509" spans="1:4">
      <c r="A509" s="1" t="s">
        <v>30</v>
      </c>
      <c r="B509" s="18">
        <v>563401</v>
      </c>
      <c r="C509" s="5" t="s">
        <v>543</v>
      </c>
      <c r="D509" s="7">
        <v>1757</v>
      </c>
    </row>
    <row r="510" spans="1:4">
      <c r="A510" s="1" t="s">
        <v>30</v>
      </c>
      <c r="B510" s="18">
        <v>581402</v>
      </c>
      <c r="C510" s="5" t="s">
        <v>545</v>
      </c>
      <c r="D510" s="7">
        <v>1772</v>
      </c>
    </row>
    <row r="511" spans="1:4">
      <c r="A511" s="1" t="s">
        <v>30</v>
      </c>
      <c r="B511" s="18">
        <v>593401</v>
      </c>
      <c r="C511" s="5" t="s">
        <v>546</v>
      </c>
      <c r="D511" s="7">
        <v>1957</v>
      </c>
    </row>
    <row r="512" spans="1:4">
      <c r="A512" s="1" t="s">
        <v>30</v>
      </c>
      <c r="B512" s="18">
        <v>610405</v>
      </c>
      <c r="C512" s="5" t="s">
        <v>547</v>
      </c>
      <c r="D512" s="7">
        <v>247</v>
      </c>
    </row>
    <row r="513" spans="1:4">
      <c r="A513" s="1" t="s">
        <v>37</v>
      </c>
      <c r="B513" s="18">
        <v>710401</v>
      </c>
      <c r="C513" s="5" t="s">
        <v>548</v>
      </c>
      <c r="D513" s="7">
        <v>842</v>
      </c>
    </row>
    <row r="514" spans="1:4">
      <c r="A514" s="1" t="s">
        <v>17</v>
      </c>
      <c r="B514" s="18" t="s">
        <v>596</v>
      </c>
      <c r="C514" s="5" t="s">
        <v>549</v>
      </c>
      <c r="D514" s="7">
        <v>479</v>
      </c>
    </row>
    <row r="515" spans="1:4">
      <c r="A515" s="1" t="s">
        <v>17</v>
      </c>
      <c r="B515" s="18" t="s">
        <v>597</v>
      </c>
      <c r="C515" s="5" t="s">
        <v>550</v>
      </c>
      <c r="D515" s="7">
        <v>1243</v>
      </c>
    </row>
    <row r="516" spans="1:4">
      <c r="A516" s="1" t="s">
        <v>19</v>
      </c>
      <c r="B516" s="19" t="s">
        <v>598</v>
      </c>
      <c r="C516" s="5" t="s">
        <v>551</v>
      </c>
      <c r="D516" s="7">
        <v>458</v>
      </c>
    </row>
    <row r="517" spans="1:4">
      <c r="A517" s="1" t="s">
        <v>25</v>
      </c>
      <c r="B517" s="19" t="s">
        <v>600</v>
      </c>
      <c r="C517" s="5" t="s">
        <v>553</v>
      </c>
      <c r="D517" s="7">
        <v>349</v>
      </c>
    </row>
    <row r="518" spans="1:4">
      <c r="A518" s="1" t="s">
        <v>30</v>
      </c>
      <c r="B518" s="18" t="s">
        <v>601</v>
      </c>
      <c r="C518" s="5" t="s">
        <v>554</v>
      </c>
      <c r="D518" s="7">
        <v>19</v>
      </c>
    </row>
    <row r="519" spans="1:4">
      <c r="A519" s="1" t="s">
        <v>21</v>
      </c>
      <c r="B519" s="19" t="s">
        <v>602</v>
      </c>
      <c r="C519" s="5" t="s">
        <v>555</v>
      </c>
      <c r="D519" s="7">
        <v>96</v>
      </c>
    </row>
    <row r="520" spans="1:4">
      <c r="A520" s="1" t="s">
        <v>25</v>
      </c>
      <c r="B520" s="19" t="s">
        <v>603</v>
      </c>
      <c r="C520" s="5" t="s">
        <v>556</v>
      </c>
      <c r="D520" s="7">
        <v>15</v>
      </c>
    </row>
    <row r="521" spans="1:4">
      <c r="A521" s="1" t="s">
        <v>29</v>
      </c>
      <c r="B521" s="18" t="s">
        <v>604</v>
      </c>
      <c r="C521" s="5" t="s">
        <v>557</v>
      </c>
      <c r="D521" s="7">
        <v>67</v>
      </c>
    </row>
    <row r="522" spans="1:4">
      <c r="A522" s="1" t="s">
        <v>32</v>
      </c>
      <c r="B522" s="18" t="s">
        <v>605</v>
      </c>
      <c r="C522" s="5" t="s">
        <v>558</v>
      </c>
      <c r="D522" s="7">
        <v>48</v>
      </c>
    </row>
    <row r="523" spans="1:4">
      <c r="A523" s="1" t="s">
        <v>21</v>
      </c>
      <c r="B523" s="19" t="s">
        <v>606</v>
      </c>
      <c r="C523" s="5" t="s">
        <v>559</v>
      </c>
      <c r="D523" s="7">
        <v>135</v>
      </c>
    </row>
    <row r="524" spans="1:4">
      <c r="A524" s="1" t="s">
        <v>22</v>
      </c>
      <c r="B524" s="19" t="s">
        <v>607</v>
      </c>
      <c r="C524" s="5" t="s">
        <v>560</v>
      </c>
      <c r="D524" s="7">
        <v>206</v>
      </c>
    </row>
    <row r="525" spans="1:4">
      <c r="A525" s="1" t="s">
        <v>25</v>
      </c>
      <c r="B525" s="19" t="s">
        <v>608</v>
      </c>
      <c r="C525" s="5" t="s">
        <v>561</v>
      </c>
      <c r="D525" s="7">
        <v>260</v>
      </c>
    </row>
    <row r="526" spans="1:4">
      <c r="A526" s="1" t="s">
        <v>30</v>
      </c>
      <c r="B526" s="18" t="s">
        <v>609</v>
      </c>
      <c r="C526" s="5" t="s">
        <v>562</v>
      </c>
      <c r="D526" s="7">
        <v>88</v>
      </c>
    </row>
    <row r="527" spans="1:4">
      <c r="A527" s="2"/>
      <c r="B527" s="2"/>
      <c r="C527" s="2"/>
      <c r="D527" s="2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8A1CF-6770-41A6-9B77-5B5C6F6BAD4E}">
  <dimension ref="A1:C32"/>
  <sheetViews>
    <sheetView workbookViewId="0">
      <selection activeCell="J16" sqref="J16"/>
    </sheetView>
  </sheetViews>
  <sheetFormatPr defaultRowHeight="16.149999999999999"/>
  <cols>
    <col min="1" max="1" width="9.73046875" style="27" customWidth="1"/>
    <col min="2" max="2" width="24.73046875" style="27" customWidth="1"/>
    <col min="3" max="3" width="8.86328125" style="27" customWidth="1"/>
  </cols>
  <sheetData>
    <row r="1" spans="1:3" ht="24.4">
      <c r="A1" s="30" t="s">
        <v>662</v>
      </c>
      <c r="B1" s="29" t="s">
        <v>624</v>
      </c>
      <c r="C1" s="30" t="s">
        <v>663</v>
      </c>
    </row>
    <row r="2" spans="1:3">
      <c r="A2" s="20">
        <v>14338</v>
      </c>
      <c r="B2" s="21" t="s">
        <v>77</v>
      </c>
      <c r="C2" s="22" t="s">
        <v>625</v>
      </c>
    </row>
    <row r="3" spans="1:3">
      <c r="A3" s="20">
        <v>14347</v>
      </c>
      <c r="B3" s="21" t="s">
        <v>79</v>
      </c>
      <c r="C3" s="22" t="s">
        <v>625</v>
      </c>
    </row>
    <row r="4" spans="1:3">
      <c r="A4" s="20">
        <v>14348</v>
      </c>
      <c r="B4" s="21" t="s">
        <v>80</v>
      </c>
      <c r="C4" s="22" t="s">
        <v>625</v>
      </c>
    </row>
    <row r="5" spans="1:3">
      <c r="A5" s="20">
        <v>14399</v>
      </c>
      <c r="B5" s="21" t="s">
        <v>88</v>
      </c>
      <c r="C5" s="22" t="s">
        <v>625</v>
      </c>
    </row>
    <row r="6" spans="1:3">
      <c r="A6" s="20">
        <v>24322</v>
      </c>
      <c r="B6" s="21" t="s">
        <v>94</v>
      </c>
      <c r="C6" s="22" t="s">
        <v>625</v>
      </c>
    </row>
    <row r="7" spans="1:3">
      <c r="A7" s="20">
        <v>34348</v>
      </c>
      <c r="B7" s="21" t="s">
        <v>123</v>
      </c>
      <c r="C7" s="22" t="s">
        <v>625</v>
      </c>
    </row>
    <row r="8" spans="1:3">
      <c r="A8" s="20">
        <v>50401</v>
      </c>
      <c r="B8" s="21" t="s">
        <v>427</v>
      </c>
      <c r="C8" s="22" t="s">
        <v>625</v>
      </c>
    </row>
    <row r="9" spans="1:3">
      <c r="A9" s="20">
        <v>80401</v>
      </c>
      <c r="B9" s="21" t="s">
        <v>451</v>
      </c>
      <c r="C9" s="22" t="s">
        <v>626</v>
      </c>
    </row>
    <row r="10" spans="1:3">
      <c r="A10" s="20">
        <v>94307</v>
      </c>
      <c r="B10" s="21" t="s">
        <v>204</v>
      </c>
      <c r="C10" s="22" t="s">
        <v>625</v>
      </c>
    </row>
    <row r="11" spans="1:3">
      <c r="A11" s="20">
        <v>94308</v>
      </c>
      <c r="B11" s="21" t="s">
        <v>205</v>
      </c>
      <c r="C11" s="22" t="s">
        <v>627</v>
      </c>
    </row>
    <row r="12" spans="1:3">
      <c r="A12" s="20">
        <v>94326</v>
      </c>
      <c r="B12" s="21" t="s">
        <v>206</v>
      </c>
      <c r="C12" s="22" t="s">
        <v>625</v>
      </c>
    </row>
    <row r="13" spans="1:3">
      <c r="A13" s="23">
        <v>110314</v>
      </c>
      <c r="B13" s="21" t="s">
        <v>217</v>
      </c>
      <c r="C13" s="22" t="s">
        <v>625</v>
      </c>
    </row>
    <row r="14" spans="1:3">
      <c r="A14" s="23">
        <v>124333</v>
      </c>
      <c r="B14" s="21" t="s">
        <v>242</v>
      </c>
      <c r="C14" s="22" t="s">
        <v>626</v>
      </c>
    </row>
    <row r="15" spans="1:3">
      <c r="A15" s="23">
        <v>130404</v>
      </c>
      <c r="B15" s="21" t="s">
        <v>487</v>
      </c>
      <c r="C15" s="22" t="s">
        <v>625</v>
      </c>
    </row>
    <row r="16" spans="1:3">
      <c r="A16" s="23">
        <v>130417</v>
      </c>
      <c r="B16" s="21" t="s">
        <v>489</v>
      </c>
      <c r="C16" s="22" t="s">
        <v>627</v>
      </c>
    </row>
    <row r="17" spans="1:3">
      <c r="A17" s="23">
        <v>134321</v>
      </c>
      <c r="B17" s="21" t="s">
        <v>252</v>
      </c>
      <c r="C17" s="22" t="s">
        <v>625</v>
      </c>
    </row>
    <row r="18" spans="1:3">
      <c r="A18" s="23">
        <v>134334</v>
      </c>
      <c r="B18" s="21" t="s">
        <v>254</v>
      </c>
      <c r="C18" s="22" t="s">
        <v>625</v>
      </c>
    </row>
    <row r="19" spans="1:3">
      <c r="A19" s="23">
        <v>140404</v>
      </c>
      <c r="B19" s="21" t="s">
        <v>492</v>
      </c>
      <c r="C19" s="22" t="s">
        <v>625</v>
      </c>
    </row>
    <row r="20" spans="1:3">
      <c r="A20" s="23">
        <v>140408</v>
      </c>
      <c r="B20" s="21" t="s">
        <v>494</v>
      </c>
      <c r="C20" s="22" t="s">
        <v>627</v>
      </c>
    </row>
    <row r="21" spans="1:3">
      <c r="A21" s="23">
        <v>144322</v>
      </c>
      <c r="B21" s="21" t="s">
        <v>260</v>
      </c>
      <c r="C21" s="22" t="s">
        <v>627</v>
      </c>
    </row>
    <row r="22" spans="1:3">
      <c r="A22" s="23">
        <v>150309</v>
      </c>
      <c r="B22" s="21" t="s">
        <v>263</v>
      </c>
      <c r="C22" s="22" t="s">
        <v>625</v>
      </c>
    </row>
    <row r="23" spans="1:3">
      <c r="A23" s="23">
        <v>150411</v>
      </c>
      <c r="B23" s="21" t="s">
        <v>499</v>
      </c>
      <c r="C23" s="22" t="s">
        <v>625</v>
      </c>
    </row>
    <row r="24" spans="1:3">
      <c r="A24" s="23">
        <v>154399</v>
      </c>
      <c r="B24" s="21" t="s">
        <v>268</v>
      </c>
      <c r="C24" s="22" t="s">
        <v>625</v>
      </c>
    </row>
    <row r="25" spans="1:3">
      <c r="A25" s="23">
        <v>160302</v>
      </c>
      <c r="B25" s="21" t="s">
        <v>269</v>
      </c>
      <c r="C25" s="22" t="s">
        <v>625</v>
      </c>
    </row>
    <row r="26" spans="1:3">
      <c r="A26" s="23">
        <v>160401</v>
      </c>
      <c r="B26" s="21" t="s">
        <v>501</v>
      </c>
      <c r="C26" s="22" t="s">
        <v>625</v>
      </c>
    </row>
    <row r="27" spans="1:3">
      <c r="A27" s="23">
        <v>710301</v>
      </c>
      <c r="B27" s="21" t="s">
        <v>396</v>
      </c>
      <c r="C27" s="22" t="s">
        <v>625</v>
      </c>
    </row>
    <row r="28" spans="1:3">
      <c r="A28" s="23">
        <v>710401</v>
      </c>
      <c r="B28" s="21" t="s">
        <v>548</v>
      </c>
      <c r="C28" s="22" t="s">
        <v>625</v>
      </c>
    </row>
    <row r="29" spans="1:3">
      <c r="A29" s="23">
        <v>720301</v>
      </c>
      <c r="B29" s="21" t="s">
        <v>397</v>
      </c>
      <c r="C29" s="22" t="s">
        <v>625</v>
      </c>
    </row>
    <row r="30" spans="1:3">
      <c r="A30" s="22"/>
      <c r="B30" s="21"/>
      <c r="C30" s="22"/>
    </row>
    <row r="31" spans="1:3">
      <c r="A31" s="24"/>
      <c r="B31" s="25"/>
      <c r="C31" s="24"/>
    </row>
    <row r="32" spans="1:3">
      <c r="A32" s="26"/>
      <c r="B32" s="26"/>
      <c r="C32" s="26"/>
    </row>
  </sheetData>
  <mergeCells count="1">
    <mergeCell ref="A32:C3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97D33-4399-4A9A-A53D-4BE099E6FBF6}">
  <dimension ref="A1:C32"/>
  <sheetViews>
    <sheetView workbookViewId="0">
      <selection activeCell="J7" sqref="J7"/>
    </sheetView>
  </sheetViews>
  <sheetFormatPr defaultRowHeight="16.149999999999999"/>
  <cols>
    <col min="1" max="1" width="9.73046875" style="3" customWidth="1"/>
    <col min="2" max="2" width="24.73046875" style="3" customWidth="1"/>
    <col min="3" max="3" width="8.73046875" style="3" customWidth="1"/>
  </cols>
  <sheetData>
    <row r="1" spans="1:3" ht="23.25">
      <c r="A1" s="28" t="s">
        <v>661</v>
      </c>
      <c r="B1" s="29" t="s">
        <v>628</v>
      </c>
      <c r="C1" s="28" t="s">
        <v>660</v>
      </c>
    </row>
    <row r="2" spans="1:3">
      <c r="A2" s="20">
        <v>14338</v>
      </c>
      <c r="B2" s="21" t="s">
        <v>629</v>
      </c>
      <c r="C2" s="22" t="s">
        <v>630</v>
      </c>
    </row>
    <row r="3" spans="1:3">
      <c r="A3" s="20">
        <v>14347</v>
      </c>
      <c r="B3" s="21" t="s">
        <v>631</v>
      </c>
      <c r="C3" s="22" t="s">
        <v>630</v>
      </c>
    </row>
    <row r="4" spans="1:3">
      <c r="A4" s="20">
        <v>14348</v>
      </c>
      <c r="B4" s="21" t="s">
        <v>632</v>
      </c>
      <c r="C4" s="22" t="s">
        <v>630</v>
      </c>
    </row>
    <row r="5" spans="1:3">
      <c r="A5" s="20">
        <v>14399</v>
      </c>
      <c r="B5" s="21" t="s">
        <v>633</v>
      </c>
      <c r="C5" s="22" t="s">
        <v>630</v>
      </c>
    </row>
    <row r="6" spans="1:3">
      <c r="A6" s="20">
        <v>24322</v>
      </c>
      <c r="B6" s="21" t="s">
        <v>634</v>
      </c>
      <c r="C6" s="22" t="s">
        <v>630</v>
      </c>
    </row>
    <row r="7" spans="1:3">
      <c r="A7" s="20">
        <v>34348</v>
      </c>
      <c r="B7" s="21" t="s">
        <v>635</v>
      </c>
      <c r="C7" s="22" t="s">
        <v>630</v>
      </c>
    </row>
    <row r="8" spans="1:3">
      <c r="A8" s="20">
        <v>50401</v>
      </c>
      <c r="B8" s="21" t="s">
        <v>636</v>
      </c>
      <c r="C8" s="22" t="s">
        <v>630</v>
      </c>
    </row>
    <row r="9" spans="1:3">
      <c r="A9" s="20">
        <v>80401</v>
      </c>
      <c r="B9" s="21" t="s">
        <v>637</v>
      </c>
      <c r="C9" s="22" t="s">
        <v>638</v>
      </c>
    </row>
    <row r="10" spans="1:3">
      <c r="A10" s="20">
        <v>94307</v>
      </c>
      <c r="B10" s="21" t="s">
        <v>639</v>
      </c>
      <c r="C10" s="22" t="s">
        <v>630</v>
      </c>
    </row>
    <row r="11" spans="1:3">
      <c r="A11" s="20">
        <v>94308</v>
      </c>
      <c r="B11" s="21" t="s">
        <v>640</v>
      </c>
      <c r="C11" s="22" t="s">
        <v>641</v>
      </c>
    </row>
    <row r="12" spans="1:3">
      <c r="A12" s="20">
        <v>94326</v>
      </c>
      <c r="B12" s="21" t="s">
        <v>642</v>
      </c>
      <c r="C12" s="22" t="s">
        <v>630</v>
      </c>
    </row>
    <row r="13" spans="1:3">
      <c r="A13" s="23">
        <v>110314</v>
      </c>
      <c r="B13" s="21" t="s">
        <v>643</v>
      </c>
      <c r="C13" s="22" t="s">
        <v>630</v>
      </c>
    </row>
    <row r="14" spans="1:3">
      <c r="A14" s="23">
        <v>124333</v>
      </c>
      <c r="B14" s="21" t="s">
        <v>644</v>
      </c>
      <c r="C14" s="22" t="s">
        <v>638</v>
      </c>
    </row>
    <row r="15" spans="1:3">
      <c r="A15" s="23">
        <v>130404</v>
      </c>
      <c r="B15" s="21" t="s">
        <v>645</v>
      </c>
      <c r="C15" s="22" t="s">
        <v>630</v>
      </c>
    </row>
    <row r="16" spans="1:3">
      <c r="A16" s="23">
        <v>130417</v>
      </c>
      <c r="B16" s="21" t="s">
        <v>646</v>
      </c>
      <c r="C16" s="22" t="s">
        <v>641</v>
      </c>
    </row>
    <row r="17" spans="1:3">
      <c r="A17" s="23">
        <v>134321</v>
      </c>
      <c r="B17" s="21" t="s">
        <v>647</v>
      </c>
      <c r="C17" s="22" t="s">
        <v>630</v>
      </c>
    </row>
    <row r="18" spans="1:3">
      <c r="A18" s="23">
        <v>134334</v>
      </c>
      <c r="B18" s="21" t="s">
        <v>648</v>
      </c>
      <c r="C18" s="22" t="s">
        <v>630</v>
      </c>
    </row>
    <row r="19" spans="1:3">
      <c r="A19" s="23">
        <v>140404</v>
      </c>
      <c r="B19" s="21" t="s">
        <v>649</v>
      </c>
      <c r="C19" s="22" t="s">
        <v>630</v>
      </c>
    </row>
    <row r="20" spans="1:3">
      <c r="A20" s="23">
        <v>140408</v>
      </c>
      <c r="B20" s="21" t="s">
        <v>650</v>
      </c>
      <c r="C20" s="22" t="s">
        <v>641</v>
      </c>
    </row>
    <row r="21" spans="1:3">
      <c r="A21" s="23">
        <v>144322</v>
      </c>
      <c r="B21" s="21" t="s">
        <v>651</v>
      </c>
      <c r="C21" s="22" t="s">
        <v>641</v>
      </c>
    </row>
    <row r="22" spans="1:3">
      <c r="A22" s="23">
        <v>150309</v>
      </c>
      <c r="B22" s="21" t="s">
        <v>652</v>
      </c>
      <c r="C22" s="22" t="s">
        <v>630</v>
      </c>
    </row>
    <row r="23" spans="1:3">
      <c r="A23" s="23">
        <v>150411</v>
      </c>
      <c r="B23" s="21" t="s">
        <v>653</v>
      </c>
      <c r="C23" s="22" t="s">
        <v>630</v>
      </c>
    </row>
    <row r="24" spans="1:3">
      <c r="A24" s="23">
        <v>154399</v>
      </c>
      <c r="B24" s="21" t="s">
        <v>654</v>
      </c>
      <c r="C24" s="22" t="s">
        <v>630</v>
      </c>
    </row>
    <row r="25" spans="1:3">
      <c r="A25" s="23">
        <v>160302</v>
      </c>
      <c r="B25" s="21" t="s">
        <v>655</v>
      </c>
      <c r="C25" s="22" t="s">
        <v>630</v>
      </c>
    </row>
    <row r="26" spans="1:3">
      <c r="A26" s="23">
        <v>160401</v>
      </c>
      <c r="B26" s="21" t="s">
        <v>656</v>
      </c>
      <c r="C26" s="22" t="s">
        <v>630</v>
      </c>
    </row>
    <row r="27" spans="1:3">
      <c r="A27" s="23">
        <v>710301</v>
      </c>
      <c r="B27" s="21" t="s">
        <v>657</v>
      </c>
      <c r="C27" s="22" t="s">
        <v>630</v>
      </c>
    </row>
    <row r="28" spans="1:3">
      <c r="A28" s="23">
        <v>710401</v>
      </c>
      <c r="B28" s="21" t="s">
        <v>658</v>
      </c>
      <c r="C28" s="22" t="s">
        <v>630</v>
      </c>
    </row>
    <row r="29" spans="1:3">
      <c r="A29" s="23">
        <v>720301</v>
      </c>
      <c r="B29" s="21" t="s">
        <v>659</v>
      </c>
      <c r="C29" s="22" t="s">
        <v>630</v>
      </c>
    </row>
    <row r="30" spans="1:3">
      <c r="A30" s="22"/>
      <c r="B30" s="21"/>
      <c r="C30" s="22"/>
    </row>
    <row r="31" spans="1:3">
      <c r="A31" s="24"/>
      <c r="B31" s="25"/>
      <c r="C31" s="24"/>
    </row>
    <row r="32" spans="1:3">
      <c r="A32" s="26"/>
      <c r="B32" s="26"/>
      <c r="C32" s="26"/>
    </row>
  </sheetData>
  <mergeCells count="1">
    <mergeCell ref="A32:C32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34B85-F40F-452A-9155-EDD338A17CD0}">
  <dimension ref="A1:B23"/>
  <sheetViews>
    <sheetView topLeftCell="I10" workbookViewId="0">
      <selection activeCell="B20" sqref="B20"/>
    </sheetView>
  </sheetViews>
  <sheetFormatPr defaultRowHeight="16.149999999999999"/>
  <sheetData>
    <row r="1" spans="1:2">
      <c r="A1" s="8" t="s">
        <v>39</v>
      </c>
      <c r="B1" t="s">
        <v>563</v>
      </c>
    </row>
    <row r="2" spans="1:2">
      <c r="A2" t="s">
        <v>564</v>
      </c>
      <c r="B2" t="s">
        <v>585</v>
      </c>
    </row>
    <row r="3" spans="1:2">
      <c r="A3" t="s">
        <v>572</v>
      </c>
      <c r="B3" t="s">
        <v>585</v>
      </c>
    </row>
    <row r="4" spans="1:2">
      <c r="A4" t="s">
        <v>565</v>
      </c>
      <c r="B4" t="s">
        <v>585</v>
      </c>
    </row>
    <row r="5" spans="1:2">
      <c r="A5" t="s">
        <v>566</v>
      </c>
      <c r="B5" t="s">
        <v>585</v>
      </c>
    </row>
    <row r="6" spans="1:2">
      <c r="A6" t="s">
        <v>567</v>
      </c>
      <c r="B6" t="s">
        <v>585</v>
      </c>
    </row>
    <row r="7" spans="1:2">
      <c r="A7" t="s">
        <v>568</v>
      </c>
      <c r="B7" t="s">
        <v>585</v>
      </c>
    </row>
    <row r="8" spans="1:2">
      <c r="A8" t="s">
        <v>569</v>
      </c>
      <c r="B8" t="s">
        <v>585</v>
      </c>
    </row>
    <row r="9" spans="1:2">
      <c r="A9" t="s">
        <v>570</v>
      </c>
      <c r="B9" t="s">
        <v>587</v>
      </c>
    </row>
    <row r="10" spans="1:2">
      <c r="A10" t="s">
        <v>573</v>
      </c>
      <c r="B10" t="s">
        <v>587</v>
      </c>
    </row>
    <row r="11" spans="1:2">
      <c r="A11" t="s">
        <v>571</v>
      </c>
      <c r="B11" t="s">
        <v>587</v>
      </c>
    </row>
    <row r="12" spans="1:2">
      <c r="A12" t="s">
        <v>574</v>
      </c>
      <c r="B12" t="s">
        <v>587</v>
      </c>
    </row>
    <row r="13" spans="1:2">
      <c r="A13" t="s">
        <v>575</v>
      </c>
      <c r="B13" t="s">
        <v>587</v>
      </c>
    </row>
    <row r="14" spans="1:2">
      <c r="A14" t="s">
        <v>577</v>
      </c>
      <c r="B14" t="s">
        <v>589</v>
      </c>
    </row>
    <row r="15" spans="1:2">
      <c r="A15" t="s">
        <v>576</v>
      </c>
      <c r="B15" t="s">
        <v>589</v>
      </c>
    </row>
    <row r="16" spans="1:2">
      <c r="A16" t="s">
        <v>664</v>
      </c>
      <c r="B16" t="s">
        <v>589</v>
      </c>
    </row>
    <row r="17" spans="1:2">
      <c r="A17" t="s">
        <v>578</v>
      </c>
      <c r="B17" t="s">
        <v>589</v>
      </c>
    </row>
    <row r="18" spans="1:2">
      <c r="A18" t="s">
        <v>579</v>
      </c>
      <c r="B18" t="s">
        <v>589</v>
      </c>
    </row>
    <row r="19" spans="1:2">
      <c r="A19" t="s">
        <v>581</v>
      </c>
      <c r="B19" t="s">
        <v>591</v>
      </c>
    </row>
    <row r="20" spans="1:2">
      <c r="A20" t="s">
        <v>665</v>
      </c>
      <c r="B20" t="s">
        <v>591</v>
      </c>
    </row>
    <row r="21" spans="1:2">
      <c r="A21" t="s">
        <v>582</v>
      </c>
      <c r="B21" t="s">
        <v>593</v>
      </c>
    </row>
    <row r="22" spans="1:2">
      <c r="A22" t="s">
        <v>583</v>
      </c>
      <c r="B22" t="s">
        <v>593</v>
      </c>
    </row>
    <row r="23" spans="1:2">
      <c r="A23" t="s">
        <v>580</v>
      </c>
      <c r="B23" t="s">
        <v>593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7F2E3-D4A2-4848-987F-8838BA8D3FDA}">
  <dimension ref="A1:H521"/>
  <sheetViews>
    <sheetView tabSelected="1" workbookViewId="0">
      <selection activeCell="H1" sqref="H1:H1048576"/>
    </sheetView>
  </sheetViews>
  <sheetFormatPr defaultRowHeight="16.149999999999999"/>
  <cols>
    <col min="1" max="1" width="31.53125" style="32" customWidth="1"/>
    <col min="2" max="2" width="9.06640625" style="32"/>
    <col min="3" max="3" width="16.1328125" style="32" customWidth="1"/>
    <col min="4" max="5" width="9.06640625" style="32"/>
    <col min="6" max="6" width="15" style="45" customWidth="1"/>
    <col min="7" max="7" width="15.19921875" style="32" customWidth="1"/>
    <col min="8" max="8" width="15.73046875" style="32" customWidth="1"/>
  </cols>
  <sheetData>
    <row r="1" spans="1:8">
      <c r="A1" s="32" t="s">
        <v>0</v>
      </c>
      <c r="B1" s="32" t="s">
        <v>2</v>
      </c>
      <c r="C1" s="32" t="s">
        <v>4</v>
      </c>
      <c r="D1" s="32" t="s">
        <v>6</v>
      </c>
      <c r="E1" s="32" t="s">
        <v>8</v>
      </c>
      <c r="F1" s="45" t="s">
        <v>10</v>
      </c>
      <c r="G1" s="32" t="s">
        <v>12</v>
      </c>
      <c r="H1" s="32" t="s">
        <v>14</v>
      </c>
    </row>
    <row r="2" spans="1:8">
      <c r="A2" s="32" t="s">
        <v>41</v>
      </c>
      <c r="B2" s="32" t="s">
        <v>584</v>
      </c>
      <c r="C2" s="32" t="s">
        <v>667</v>
      </c>
      <c r="D2" s="32">
        <v>372</v>
      </c>
      <c r="E2" s="32">
        <v>313</v>
      </c>
      <c r="F2" s="45">
        <v>-0.159</v>
      </c>
      <c r="G2" s="32" t="s">
        <v>668</v>
      </c>
      <c r="H2" s="32" t="b">
        <v>1</v>
      </c>
    </row>
    <row r="3" spans="1:8">
      <c r="A3" s="32" t="s">
        <v>42</v>
      </c>
      <c r="B3" s="32" t="s">
        <v>590</v>
      </c>
      <c r="C3" s="32" t="s">
        <v>667</v>
      </c>
      <c r="D3" s="32">
        <v>763</v>
      </c>
      <c r="E3" s="32">
        <v>722</v>
      </c>
      <c r="F3" s="45">
        <v>-5.3999999999999999E-2</v>
      </c>
      <c r="G3" s="32" t="s">
        <v>668</v>
      </c>
      <c r="H3" s="32" t="b">
        <v>1</v>
      </c>
    </row>
    <row r="4" spans="1:8">
      <c r="A4" s="32" t="s">
        <v>43</v>
      </c>
      <c r="B4" s="32" t="s">
        <v>584</v>
      </c>
      <c r="C4" s="32" t="s">
        <v>667</v>
      </c>
      <c r="D4" s="32">
        <v>1503</v>
      </c>
      <c r="E4" s="32">
        <v>1528</v>
      </c>
      <c r="F4" s="45">
        <v>1.7000000000000001E-2</v>
      </c>
      <c r="G4" s="32" t="s">
        <v>669</v>
      </c>
      <c r="H4" s="32" t="b">
        <v>0</v>
      </c>
    </row>
    <row r="5" spans="1:8">
      <c r="A5" s="32" t="s">
        <v>44</v>
      </c>
      <c r="B5" s="32" t="s">
        <v>584</v>
      </c>
      <c r="C5" s="32" t="s">
        <v>667</v>
      </c>
      <c r="D5" s="32">
        <v>898</v>
      </c>
      <c r="E5" s="32">
        <v>998</v>
      </c>
      <c r="F5" s="45">
        <v>0.111</v>
      </c>
      <c r="G5" s="32" t="s">
        <v>669</v>
      </c>
      <c r="H5" s="32" t="b">
        <v>0</v>
      </c>
    </row>
    <row r="6" spans="1:8">
      <c r="A6" s="32" t="s">
        <v>45</v>
      </c>
      <c r="B6" s="32" t="s">
        <v>584</v>
      </c>
      <c r="C6" s="32" t="s">
        <v>667</v>
      </c>
      <c r="D6" s="32">
        <v>885</v>
      </c>
      <c r="E6" s="32">
        <v>913</v>
      </c>
      <c r="F6" s="45">
        <v>3.2000000000000001E-2</v>
      </c>
      <c r="G6" s="32" t="s">
        <v>669</v>
      </c>
      <c r="H6" s="32" t="b">
        <v>0</v>
      </c>
    </row>
    <row r="7" spans="1:8">
      <c r="A7" s="32" t="s">
        <v>46</v>
      </c>
      <c r="B7" s="32" t="s">
        <v>584</v>
      </c>
      <c r="C7" s="32" t="s">
        <v>667</v>
      </c>
      <c r="D7" s="32">
        <v>743</v>
      </c>
      <c r="E7" s="32">
        <v>665</v>
      </c>
      <c r="F7" s="45">
        <v>-0.105</v>
      </c>
      <c r="G7" s="32" t="s">
        <v>668</v>
      </c>
      <c r="H7" s="32" t="b">
        <v>1</v>
      </c>
    </row>
    <row r="8" spans="1:8">
      <c r="A8" s="32" t="s">
        <v>47</v>
      </c>
      <c r="B8" s="32" t="s">
        <v>584</v>
      </c>
      <c r="C8" s="32" t="s">
        <v>667</v>
      </c>
      <c r="D8" s="32">
        <v>173</v>
      </c>
      <c r="E8" s="32">
        <v>190</v>
      </c>
      <c r="F8" s="45">
        <v>9.8000000000000004E-2</v>
      </c>
      <c r="G8" s="32" t="s">
        <v>669</v>
      </c>
      <c r="H8" s="32" t="b">
        <v>0</v>
      </c>
    </row>
    <row r="9" spans="1:8">
      <c r="A9" s="32" t="s">
        <v>48</v>
      </c>
      <c r="B9" s="32" t="s">
        <v>584</v>
      </c>
      <c r="C9" s="32" t="s">
        <v>667</v>
      </c>
      <c r="D9" s="32">
        <v>1620</v>
      </c>
      <c r="E9" s="32">
        <v>1584</v>
      </c>
      <c r="F9" s="45">
        <v>-2.1999999999999999E-2</v>
      </c>
      <c r="G9" s="32" t="s">
        <v>670</v>
      </c>
      <c r="H9" s="32" t="b">
        <v>1</v>
      </c>
    </row>
    <row r="10" spans="1:8">
      <c r="A10" s="32" t="s">
        <v>49</v>
      </c>
      <c r="B10" s="32" t="s">
        <v>584</v>
      </c>
      <c r="C10" s="32" t="s">
        <v>667</v>
      </c>
      <c r="D10" s="32">
        <v>867</v>
      </c>
      <c r="E10" s="32">
        <v>927</v>
      </c>
      <c r="F10" s="45">
        <v>6.9000000000000006E-2</v>
      </c>
      <c r="G10" s="32" t="s">
        <v>669</v>
      </c>
      <c r="H10" s="32" t="b">
        <v>0</v>
      </c>
    </row>
    <row r="11" spans="1:8">
      <c r="A11" s="32" t="s">
        <v>50</v>
      </c>
      <c r="B11" s="32" t="s">
        <v>584</v>
      </c>
      <c r="C11" s="32" t="s">
        <v>667</v>
      </c>
      <c r="D11" s="32">
        <v>370</v>
      </c>
      <c r="E11" s="32">
        <v>362</v>
      </c>
      <c r="F11" s="45">
        <v>-2.1999999999999999E-2</v>
      </c>
      <c r="G11" s="32" t="s">
        <v>670</v>
      </c>
      <c r="H11" s="32" t="b">
        <v>1</v>
      </c>
    </row>
    <row r="12" spans="1:8">
      <c r="A12" s="32" t="s">
        <v>51</v>
      </c>
      <c r="B12" s="32" t="s">
        <v>584</v>
      </c>
      <c r="C12" s="32" t="s">
        <v>667</v>
      </c>
      <c r="D12" s="32">
        <v>141</v>
      </c>
      <c r="E12" s="32">
        <v>128</v>
      </c>
      <c r="F12" s="45">
        <v>-9.1999999999999998E-2</v>
      </c>
      <c r="G12" s="32" t="s">
        <v>668</v>
      </c>
      <c r="H12" s="32" t="b">
        <v>1</v>
      </c>
    </row>
    <row r="13" spans="1:8">
      <c r="A13" s="32" t="s">
        <v>53</v>
      </c>
      <c r="B13" s="32" t="s">
        <v>584</v>
      </c>
      <c r="C13" s="32" t="s">
        <v>667</v>
      </c>
      <c r="D13" s="32">
        <v>552</v>
      </c>
      <c r="E13" s="32">
        <v>589</v>
      </c>
      <c r="F13" s="45">
        <v>6.7000000000000004E-2</v>
      </c>
      <c r="G13" s="32" t="s">
        <v>669</v>
      </c>
      <c r="H13" s="32" t="b">
        <v>0</v>
      </c>
    </row>
    <row r="14" spans="1:8">
      <c r="A14" s="32" t="s">
        <v>54</v>
      </c>
      <c r="B14" s="32" t="s">
        <v>584</v>
      </c>
      <c r="C14" s="32" t="s">
        <v>667</v>
      </c>
      <c r="D14" s="32">
        <v>636</v>
      </c>
      <c r="E14" s="32">
        <v>470</v>
      </c>
      <c r="F14" s="45">
        <v>-0.26100000000000001</v>
      </c>
      <c r="G14" s="32" t="s">
        <v>668</v>
      </c>
      <c r="H14" s="32" t="b">
        <v>1</v>
      </c>
    </row>
    <row r="15" spans="1:8">
      <c r="A15" s="32" t="s">
        <v>55</v>
      </c>
      <c r="B15" s="32" t="s">
        <v>584</v>
      </c>
      <c r="C15" s="32" t="s">
        <v>667</v>
      </c>
      <c r="D15" s="32">
        <v>575</v>
      </c>
      <c r="E15" s="32">
        <v>799</v>
      </c>
      <c r="F15" s="45">
        <v>0.39</v>
      </c>
      <c r="G15" s="32" t="s">
        <v>669</v>
      </c>
      <c r="H15" s="32" t="b">
        <v>0</v>
      </c>
    </row>
    <row r="16" spans="1:8">
      <c r="A16" s="32" t="s">
        <v>56</v>
      </c>
      <c r="B16" s="32" t="s">
        <v>584</v>
      </c>
      <c r="C16" s="32" t="s">
        <v>667</v>
      </c>
      <c r="D16" s="32">
        <v>230</v>
      </c>
      <c r="E16" s="32">
        <v>233</v>
      </c>
      <c r="F16" s="45">
        <v>1.2999999999999999E-2</v>
      </c>
      <c r="G16" s="32" t="s">
        <v>669</v>
      </c>
      <c r="H16" s="32" t="b">
        <v>0</v>
      </c>
    </row>
    <row r="17" spans="1:8">
      <c r="A17" s="32" t="s">
        <v>57</v>
      </c>
      <c r="B17" s="32" t="s">
        <v>584</v>
      </c>
      <c r="C17" s="32" t="s">
        <v>667</v>
      </c>
      <c r="D17" s="32">
        <v>482</v>
      </c>
      <c r="E17" s="32">
        <v>511</v>
      </c>
      <c r="F17" s="45">
        <v>0.06</v>
      </c>
      <c r="G17" s="32" t="s">
        <v>669</v>
      </c>
      <c r="H17" s="32" t="b">
        <v>0</v>
      </c>
    </row>
    <row r="18" spans="1:8">
      <c r="A18" s="32" t="s">
        <v>58</v>
      </c>
      <c r="B18" s="32" t="s">
        <v>584</v>
      </c>
      <c r="C18" s="32" t="s">
        <v>667</v>
      </c>
      <c r="D18" s="32">
        <v>722</v>
      </c>
      <c r="E18" s="32">
        <v>719</v>
      </c>
      <c r="F18" s="45">
        <v>-4.0000000000000001E-3</v>
      </c>
      <c r="G18" s="32" t="s">
        <v>670</v>
      </c>
      <c r="H18" s="32" t="b">
        <v>0</v>
      </c>
    </row>
    <row r="19" spans="1:8">
      <c r="A19" s="32" t="s">
        <v>59</v>
      </c>
      <c r="B19" s="32" t="s">
        <v>584</v>
      </c>
      <c r="C19" s="32" t="s">
        <v>667</v>
      </c>
      <c r="D19" s="32">
        <v>1033</v>
      </c>
      <c r="E19" s="32">
        <v>1030</v>
      </c>
      <c r="F19" s="45">
        <v>-3.0000000000000001E-3</v>
      </c>
      <c r="G19" s="32" t="s">
        <v>670</v>
      </c>
      <c r="H19" s="32" t="b">
        <v>0</v>
      </c>
    </row>
    <row r="20" spans="1:8">
      <c r="A20" s="32" t="s">
        <v>610</v>
      </c>
      <c r="B20" s="32" t="s">
        <v>584</v>
      </c>
      <c r="C20" s="32" t="s">
        <v>667</v>
      </c>
      <c r="D20" s="32">
        <v>128</v>
      </c>
      <c r="E20" s="32">
        <v>176</v>
      </c>
      <c r="F20" s="45">
        <v>0.375</v>
      </c>
      <c r="G20" s="32" t="s">
        <v>669</v>
      </c>
      <c r="H20" s="32" t="b">
        <v>0</v>
      </c>
    </row>
    <row r="21" spans="1:8">
      <c r="A21" s="32" t="s">
        <v>61</v>
      </c>
      <c r="B21" s="32" t="s">
        <v>584</v>
      </c>
      <c r="C21" s="32" t="s">
        <v>667</v>
      </c>
      <c r="D21" s="32">
        <v>472</v>
      </c>
      <c r="E21" s="32">
        <v>473</v>
      </c>
      <c r="F21" s="45">
        <v>2E-3</v>
      </c>
      <c r="G21" s="32" t="s">
        <v>669</v>
      </c>
      <c r="H21" s="32" t="b">
        <v>0</v>
      </c>
    </row>
    <row r="22" spans="1:8">
      <c r="A22" s="32" t="s">
        <v>62</v>
      </c>
      <c r="B22" s="32" t="s">
        <v>584</v>
      </c>
      <c r="C22" s="32" t="s">
        <v>667</v>
      </c>
      <c r="D22" s="32">
        <v>537</v>
      </c>
      <c r="E22" s="32">
        <v>611</v>
      </c>
      <c r="F22" s="45">
        <v>0.13800000000000001</v>
      </c>
      <c r="G22" s="32" t="s">
        <v>669</v>
      </c>
      <c r="H22" s="32" t="b">
        <v>0</v>
      </c>
    </row>
    <row r="23" spans="1:8">
      <c r="A23" s="32" t="s">
        <v>63</v>
      </c>
      <c r="B23" s="32" t="s">
        <v>584</v>
      </c>
      <c r="C23" s="32" t="s">
        <v>667</v>
      </c>
      <c r="D23" s="32">
        <v>614</v>
      </c>
      <c r="E23" s="32">
        <v>545</v>
      </c>
      <c r="F23" s="45">
        <v>-0.112</v>
      </c>
      <c r="G23" s="32" t="s">
        <v>668</v>
      </c>
      <c r="H23" s="32" t="b">
        <v>1</v>
      </c>
    </row>
    <row r="24" spans="1:8">
      <c r="A24" s="32" t="s">
        <v>64</v>
      </c>
      <c r="B24" s="32" t="s">
        <v>584</v>
      </c>
      <c r="C24" s="32" t="s">
        <v>667</v>
      </c>
      <c r="D24" s="32">
        <v>2118</v>
      </c>
      <c r="E24" s="32">
        <v>2078</v>
      </c>
      <c r="F24" s="45">
        <v>-1.9E-2</v>
      </c>
      <c r="G24" s="32" t="s">
        <v>670</v>
      </c>
      <c r="H24" s="32" t="b">
        <v>1</v>
      </c>
    </row>
    <row r="25" spans="1:8">
      <c r="A25" s="32" t="s">
        <v>65</v>
      </c>
      <c r="B25" s="32" t="s">
        <v>584</v>
      </c>
      <c r="C25" s="32" t="s">
        <v>667</v>
      </c>
      <c r="D25" s="32">
        <v>2182</v>
      </c>
      <c r="E25" s="32">
        <v>2176</v>
      </c>
      <c r="F25" s="45">
        <v>-3.0000000000000001E-3</v>
      </c>
      <c r="G25" s="32" t="s">
        <v>670</v>
      </c>
      <c r="H25" s="32" t="b">
        <v>0</v>
      </c>
    </row>
    <row r="26" spans="1:8">
      <c r="A26" s="32" t="s">
        <v>66</v>
      </c>
      <c r="B26" s="32" t="s">
        <v>584</v>
      </c>
      <c r="C26" s="32" t="s">
        <v>667</v>
      </c>
      <c r="D26" s="32">
        <v>1770</v>
      </c>
      <c r="E26" s="32">
        <v>1803</v>
      </c>
      <c r="F26" s="45">
        <v>1.9E-2</v>
      </c>
      <c r="G26" s="32" t="s">
        <v>669</v>
      </c>
      <c r="H26" s="32" t="b">
        <v>0</v>
      </c>
    </row>
    <row r="27" spans="1:8">
      <c r="A27" s="32" t="s">
        <v>67</v>
      </c>
      <c r="B27" s="32" t="s">
        <v>584</v>
      </c>
      <c r="C27" s="32" t="s">
        <v>667</v>
      </c>
      <c r="D27" s="32">
        <v>1893</v>
      </c>
      <c r="E27" s="32">
        <v>1906</v>
      </c>
      <c r="F27" s="45">
        <v>7.0000000000000001E-3</v>
      </c>
      <c r="G27" s="32" t="s">
        <v>669</v>
      </c>
      <c r="H27" s="32" t="b">
        <v>0</v>
      </c>
    </row>
    <row r="28" spans="1:8">
      <c r="A28" s="32" t="s">
        <v>68</v>
      </c>
      <c r="B28" s="32" t="s">
        <v>584</v>
      </c>
      <c r="C28" s="32" t="s">
        <v>667</v>
      </c>
      <c r="D28" s="32">
        <v>2020</v>
      </c>
      <c r="E28" s="32">
        <v>2030</v>
      </c>
      <c r="F28" s="45">
        <v>5.0000000000000001E-3</v>
      </c>
      <c r="G28" s="32" t="s">
        <v>669</v>
      </c>
      <c r="H28" s="32" t="b">
        <v>0</v>
      </c>
    </row>
    <row r="29" spans="1:8">
      <c r="A29" s="32" t="s">
        <v>69</v>
      </c>
      <c r="B29" s="32" t="s">
        <v>584</v>
      </c>
      <c r="C29" s="32" t="s">
        <v>667</v>
      </c>
      <c r="D29" s="32">
        <v>1789</v>
      </c>
      <c r="E29" s="32">
        <v>1760</v>
      </c>
      <c r="F29" s="45">
        <v>-1.6E-2</v>
      </c>
      <c r="G29" s="32" t="s">
        <v>670</v>
      </c>
      <c r="H29" s="32" t="b">
        <v>1</v>
      </c>
    </row>
    <row r="30" spans="1:8">
      <c r="A30" s="32" t="s">
        <v>70</v>
      </c>
      <c r="B30" s="32" t="s">
        <v>584</v>
      </c>
      <c r="C30" s="32" t="s">
        <v>667</v>
      </c>
      <c r="D30" s="32">
        <v>1549</v>
      </c>
      <c r="E30" s="32">
        <v>1555</v>
      </c>
      <c r="F30" s="45">
        <v>4.0000000000000001E-3</v>
      </c>
      <c r="G30" s="32" t="s">
        <v>669</v>
      </c>
      <c r="H30" s="32" t="b">
        <v>0</v>
      </c>
    </row>
    <row r="31" spans="1:8">
      <c r="A31" s="32" t="s">
        <v>71</v>
      </c>
      <c r="B31" s="32" t="s">
        <v>584</v>
      </c>
      <c r="C31" s="32" t="s">
        <v>667</v>
      </c>
      <c r="D31" s="32">
        <v>1163</v>
      </c>
      <c r="E31" s="32">
        <v>1158</v>
      </c>
      <c r="F31" s="45">
        <v>-4.0000000000000001E-3</v>
      </c>
      <c r="G31" s="32" t="s">
        <v>670</v>
      </c>
      <c r="H31" s="32" t="b">
        <v>0</v>
      </c>
    </row>
    <row r="32" spans="1:8">
      <c r="A32" s="32" t="s">
        <v>72</v>
      </c>
      <c r="B32" s="32" t="s">
        <v>584</v>
      </c>
      <c r="C32" s="32" t="s">
        <v>667</v>
      </c>
      <c r="D32" s="32">
        <v>1348</v>
      </c>
      <c r="E32" s="32">
        <v>1339</v>
      </c>
      <c r="F32" s="45">
        <v>-7.0000000000000001E-3</v>
      </c>
      <c r="G32" s="32" t="s">
        <v>670</v>
      </c>
      <c r="H32" s="32" t="b">
        <v>0</v>
      </c>
    </row>
    <row r="33" spans="1:8">
      <c r="A33" s="32" t="s">
        <v>73</v>
      </c>
      <c r="B33" s="32" t="s">
        <v>584</v>
      </c>
      <c r="C33" s="32" t="s">
        <v>667</v>
      </c>
      <c r="D33" s="32">
        <v>1180</v>
      </c>
      <c r="E33" s="32">
        <v>1199</v>
      </c>
      <c r="F33" s="45">
        <v>1.6E-2</v>
      </c>
      <c r="G33" s="32" t="s">
        <v>669</v>
      </c>
      <c r="H33" s="32" t="b">
        <v>0</v>
      </c>
    </row>
    <row r="34" spans="1:8">
      <c r="A34" s="32" t="s">
        <v>74</v>
      </c>
      <c r="B34" s="32" t="s">
        <v>584</v>
      </c>
      <c r="C34" s="32" t="s">
        <v>667</v>
      </c>
      <c r="D34" s="32">
        <v>1392</v>
      </c>
      <c r="E34" s="32">
        <v>1463</v>
      </c>
      <c r="F34" s="45">
        <v>5.0999999999999997E-2</v>
      </c>
      <c r="G34" s="32" t="s">
        <v>669</v>
      </c>
      <c r="H34" s="32" t="b">
        <v>0</v>
      </c>
    </row>
    <row r="35" spans="1:8">
      <c r="A35" s="32" t="s">
        <v>75</v>
      </c>
      <c r="B35" s="32" t="s">
        <v>584</v>
      </c>
      <c r="C35" s="32" t="s">
        <v>667</v>
      </c>
      <c r="D35" s="32">
        <v>1137</v>
      </c>
      <c r="E35" s="32">
        <v>1168</v>
      </c>
      <c r="F35" s="45">
        <v>2.7E-2</v>
      </c>
      <c r="G35" s="32" t="s">
        <v>669</v>
      </c>
      <c r="H35" s="32" t="b">
        <v>0</v>
      </c>
    </row>
    <row r="36" spans="1:8">
      <c r="A36" s="32" t="s">
        <v>76</v>
      </c>
      <c r="B36" s="32" t="s">
        <v>584</v>
      </c>
      <c r="C36" s="32" t="s">
        <v>667</v>
      </c>
      <c r="D36" s="32">
        <v>911</v>
      </c>
      <c r="E36" s="32">
        <v>928</v>
      </c>
      <c r="F36" s="45">
        <v>1.9E-2</v>
      </c>
      <c r="G36" s="32" t="s">
        <v>669</v>
      </c>
      <c r="H36" s="32" t="b">
        <v>0</v>
      </c>
    </row>
    <row r="37" spans="1:8">
      <c r="A37" s="32" t="s">
        <v>77</v>
      </c>
      <c r="B37" s="32" t="s">
        <v>584</v>
      </c>
      <c r="C37" s="32" t="s">
        <v>667</v>
      </c>
      <c r="D37" s="32">
        <v>348</v>
      </c>
      <c r="E37" s="32">
        <v>283</v>
      </c>
      <c r="F37" s="45">
        <v>-0.187</v>
      </c>
      <c r="G37" s="32" t="s">
        <v>668</v>
      </c>
      <c r="H37" s="32" t="b">
        <v>1</v>
      </c>
    </row>
    <row r="38" spans="1:8">
      <c r="A38" s="32" t="s">
        <v>78</v>
      </c>
      <c r="B38" s="32" t="s">
        <v>584</v>
      </c>
      <c r="C38" s="32" t="s">
        <v>667</v>
      </c>
      <c r="D38" s="32">
        <v>1016</v>
      </c>
      <c r="E38" s="32">
        <v>990</v>
      </c>
      <c r="F38" s="45">
        <v>-2.5999999999999999E-2</v>
      </c>
      <c r="G38" s="32" t="s">
        <v>670</v>
      </c>
      <c r="H38" s="32" t="b">
        <v>1</v>
      </c>
    </row>
    <row r="39" spans="1:8">
      <c r="A39" s="32" t="s">
        <v>79</v>
      </c>
      <c r="B39" s="32" t="s">
        <v>584</v>
      </c>
      <c r="C39" s="32" t="s">
        <v>667</v>
      </c>
      <c r="D39" s="32">
        <v>226</v>
      </c>
      <c r="E39" s="32">
        <v>210</v>
      </c>
      <c r="F39" s="45">
        <v>-7.0999999999999994E-2</v>
      </c>
      <c r="G39" s="32" t="s">
        <v>668</v>
      </c>
      <c r="H39" s="32" t="b">
        <v>1</v>
      </c>
    </row>
    <row r="40" spans="1:8">
      <c r="A40" s="32" t="s">
        <v>80</v>
      </c>
      <c r="B40" s="32" t="s">
        <v>584</v>
      </c>
      <c r="C40" s="32" t="s">
        <v>667</v>
      </c>
      <c r="D40" s="32">
        <v>477</v>
      </c>
      <c r="E40" s="32">
        <v>457</v>
      </c>
      <c r="F40" s="45">
        <v>-4.2000000000000003E-2</v>
      </c>
      <c r="G40" s="32" t="s">
        <v>670</v>
      </c>
      <c r="H40" s="32" t="b">
        <v>1</v>
      </c>
    </row>
    <row r="41" spans="1:8">
      <c r="A41" s="32" t="s">
        <v>81</v>
      </c>
      <c r="B41" s="32" t="s">
        <v>584</v>
      </c>
      <c r="C41" s="32" t="s">
        <v>667</v>
      </c>
      <c r="D41" s="32">
        <v>1024</v>
      </c>
      <c r="E41" s="32">
        <v>1015</v>
      </c>
      <c r="F41" s="45">
        <v>-8.9999999999999993E-3</v>
      </c>
      <c r="G41" s="32" t="s">
        <v>670</v>
      </c>
      <c r="H41" s="32" t="b">
        <v>0</v>
      </c>
    </row>
    <row r="42" spans="1:8">
      <c r="A42" s="32" t="s">
        <v>82</v>
      </c>
      <c r="B42" s="32" t="s">
        <v>584</v>
      </c>
      <c r="C42" s="32" t="s">
        <v>667</v>
      </c>
      <c r="D42" s="32">
        <v>1358</v>
      </c>
      <c r="E42" s="32">
        <v>1332</v>
      </c>
      <c r="F42" s="45">
        <v>-1.9E-2</v>
      </c>
      <c r="G42" s="32" t="s">
        <v>670</v>
      </c>
      <c r="H42" s="32" t="b">
        <v>1</v>
      </c>
    </row>
    <row r="43" spans="1:8">
      <c r="A43" s="32" t="s">
        <v>83</v>
      </c>
      <c r="B43" s="32" t="s">
        <v>584</v>
      </c>
      <c r="C43" s="32" t="s">
        <v>667</v>
      </c>
      <c r="D43" s="32">
        <v>1446</v>
      </c>
      <c r="E43" s="32">
        <v>1440</v>
      </c>
      <c r="F43" s="45">
        <v>-4.0000000000000001E-3</v>
      </c>
      <c r="G43" s="32" t="s">
        <v>670</v>
      </c>
      <c r="H43" s="32" t="b">
        <v>0</v>
      </c>
    </row>
    <row r="44" spans="1:8">
      <c r="A44" s="32" t="s">
        <v>84</v>
      </c>
      <c r="B44" s="32" t="s">
        <v>584</v>
      </c>
      <c r="C44" s="32" t="s">
        <v>667</v>
      </c>
      <c r="D44" s="32">
        <v>1060</v>
      </c>
      <c r="E44" s="32">
        <v>1032</v>
      </c>
      <c r="F44" s="45">
        <v>-2.5999999999999999E-2</v>
      </c>
      <c r="G44" s="32" t="s">
        <v>670</v>
      </c>
      <c r="H44" s="32" t="b">
        <v>1</v>
      </c>
    </row>
    <row r="45" spans="1:8">
      <c r="A45" s="32" t="s">
        <v>85</v>
      </c>
      <c r="B45" s="32" t="s">
        <v>584</v>
      </c>
      <c r="C45" s="32" t="s">
        <v>667</v>
      </c>
      <c r="D45" s="32">
        <v>693</v>
      </c>
      <c r="E45" s="32">
        <v>709</v>
      </c>
      <c r="F45" s="45">
        <v>2.3E-2</v>
      </c>
      <c r="G45" s="32" t="s">
        <v>669</v>
      </c>
      <c r="H45" s="32" t="b">
        <v>0</v>
      </c>
    </row>
    <row r="46" spans="1:8">
      <c r="A46" s="32" t="s">
        <v>86</v>
      </c>
      <c r="B46" s="32" t="s">
        <v>584</v>
      </c>
      <c r="C46" s="32" t="s">
        <v>667</v>
      </c>
      <c r="D46" s="32">
        <v>784</v>
      </c>
      <c r="E46" s="32">
        <v>777</v>
      </c>
      <c r="F46" s="45">
        <v>-8.9999999999999993E-3</v>
      </c>
      <c r="G46" s="32" t="s">
        <v>670</v>
      </c>
      <c r="H46" s="32" t="b">
        <v>0</v>
      </c>
    </row>
    <row r="47" spans="1:8">
      <c r="A47" s="32" t="s">
        <v>87</v>
      </c>
      <c r="B47" s="32" t="s">
        <v>584</v>
      </c>
      <c r="C47" s="32" t="s">
        <v>667</v>
      </c>
      <c r="D47" s="32">
        <v>655</v>
      </c>
      <c r="E47" s="32">
        <v>662</v>
      </c>
      <c r="F47" s="45">
        <v>1.0999999999999999E-2</v>
      </c>
      <c r="G47" s="32" t="s">
        <v>669</v>
      </c>
      <c r="H47" s="32" t="b">
        <v>0</v>
      </c>
    </row>
    <row r="48" spans="1:8">
      <c r="A48" s="32" t="s">
        <v>88</v>
      </c>
      <c r="B48" s="32" t="s">
        <v>584</v>
      </c>
      <c r="C48" s="32" t="s">
        <v>667</v>
      </c>
      <c r="D48" s="32">
        <v>4</v>
      </c>
      <c r="E48" s="32">
        <v>5</v>
      </c>
      <c r="F48" s="45">
        <v>0.25</v>
      </c>
      <c r="G48" s="32" t="s">
        <v>669</v>
      </c>
      <c r="H48" s="32" t="b">
        <v>0</v>
      </c>
    </row>
    <row r="49" spans="1:8">
      <c r="A49" s="32" t="s">
        <v>89</v>
      </c>
      <c r="B49" s="32" t="s">
        <v>584</v>
      </c>
      <c r="C49" s="32" t="s">
        <v>667</v>
      </c>
      <c r="D49" s="32">
        <v>1365</v>
      </c>
      <c r="E49" s="32">
        <v>1392</v>
      </c>
      <c r="F49" s="45">
        <v>0.02</v>
      </c>
      <c r="G49" s="32" t="s">
        <v>669</v>
      </c>
      <c r="H49" s="32" t="b">
        <v>0</v>
      </c>
    </row>
    <row r="50" spans="1:8">
      <c r="A50" s="32" t="s">
        <v>90</v>
      </c>
      <c r="B50" s="32" t="s">
        <v>584</v>
      </c>
      <c r="C50" s="32" t="s">
        <v>667</v>
      </c>
      <c r="D50" s="32">
        <v>1405</v>
      </c>
      <c r="E50" s="32">
        <v>1387</v>
      </c>
      <c r="F50" s="45">
        <v>-1.2999999999999999E-2</v>
      </c>
      <c r="G50" s="32" t="s">
        <v>670</v>
      </c>
      <c r="H50" s="32" t="b">
        <v>0</v>
      </c>
    </row>
    <row r="51" spans="1:8">
      <c r="A51" s="32" t="s">
        <v>91</v>
      </c>
      <c r="B51" s="32" t="s">
        <v>584</v>
      </c>
      <c r="C51" s="32" t="s">
        <v>667</v>
      </c>
      <c r="D51" s="32">
        <v>1331</v>
      </c>
      <c r="E51" s="32">
        <v>1295</v>
      </c>
      <c r="F51" s="45">
        <v>-2.7E-2</v>
      </c>
      <c r="G51" s="32" t="s">
        <v>670</v>
      </c>
      <c r="H51" s="32" t="b">
        <v>1</v>
      </c>
    </row>
    <row r="52" spans="1:8">
      <c r="A52" s="32" t="s">
        <v>92</v>
      </c>
      <c r="B52" s="32" t="s">
        <v>584</v>
      </c>
      <c r="C52" s="32" t="s">
        <v>667</v>
      </c>
      <c r="D52" s="32">
        <v>651</v>
      </c>
      <c r="E52" s="32">
        <v>609</v>
      </c>
      <c r="F52" s="45">
        <v>-6.5000000000000002E-2</v>
      </c>
      <c r="G52" s="32" t="s">
        <v>668</v>
      </c>
      <c r="H52" s="32" t="b">
        <v>1</v>
      </c>
    </row>
    <row r="53" spans="1:8">
      <c r="A53" s="32" t="s">
        <v>93</v>
      </c>
      <c r="B53" s="32" t="s">
        <v>584</v>
      </c>
      <c r="C53" s="32" t="s">
        <v>667</v>
      </c>
      <c r="D53" s="32">
        <v>242</v>
      </c>
      <c r="E53" s="32">
        <v>221</v>
      </c>
      <c r="F53" s="45">
        <v>-8.6999999999999994E-2</v>
      </c>
      <c r="G53" s="32" t="s">
        <v>668</v>
      </c>
      <c r="H53" s="32" t="b">
        <v>1</v>
      </c>
    </row>
    <row r="54" spans="1:8">
      <c r="A54" s="32" t="s">
        <v>94</v>
      </c>
      <c r="B54" s="32" t="s">
        <v>584</v>
      </c>
      <c r="C54" s="32" t="s">
        <v>667</v>
      </c>
      <c r="D54" s="32">
        <v>157</v>
      </c>
      <c r="E54" s="32">
        <v>134</v>
      </c>
      <c r="F54" s="45">
        <v>-0.14599999999999999</v>
      </c>
      <c r="G54" s="32" t="s">
        <v>668</v>
      </c>
      <c r="H54" s="32" t="b">
        <v>1</v>
      </c>
    </row>
    <row r="55" spans="1:8">
      <c r="A55" s="32" t="s">
        <v>95</v>
      </c>
      <c r="B55" s="32" t="s">
        <v>584</v>
      </c>
      <c r="C55" s="32" t="s">
        <v>667</v>
      </c>
      <c r="D55" s="32">
        <v>156</v>
      </c>
      <c r="E55" s="32">
        <v>179</v>
      </c>
      <c r="F55" s="45">
        <v>0.14699999999999999</v>
      </c>
      <c r="G55" s="32" t="s">
        <v>669</v>
      </c>
      <c r="H55" s="32" t="b">
        <v>0</v>
      </c>
    </row>
    <row r="56" spans="1:8">
      <c r="A56" s="32" t="s">
        <v>96</v>
      </c>
      <c r="B56" s="32" t="s">
        <v>584</v>
      </c>
      <c r="C56" s="32" t="s">
        <v>667</v>
      </c>
      <c r="D56" s="32">
        <v>2122</v>
      </c>
      <c r="E56" s="32">
        <v>2125</v>
      </c>
      <c r="F56" s="45">
        <v>1E-3</v>
      </c>
      <c r="G56" s="32" t="s">
        <v>669</v>
      </c>
      <c r="H56" s="32" t="b">
        <v>0</v>
      </c>
    </row>
    <row r="57" spans="1:8">
      <c r="A57" s="32" t="s">
        <v>98</v>
      </c>
      <c r="B57" s="32" t="s">
        <v>584</v>
      </c>
      <c r="C57" s="32" t="s">
        <v>667</v>
      </c>
      <c r="D57" s="32">
        <v>4991</v>
      </c>
      <c r="E57" s="32">
        <v>4924</v>
      </c>
      <c r="F57" s="45">
        <v>-1.2999999999999999E-2</v>
      </c>
      <c r="G57" s="32" t="s">
        <v>670</v>
      </c>
      <c r="H57" s="32" t="b">
        <v>0</v>
      </c>
    </row>
    <row r="58" spans="1:8">
      <c r="A58" s="32" t="s">
        <v>99</v>
      </c>
      <c r="B58" s="32" t="s">
        <v>584</v>
      </c>
      <c r="C58" s="32" t="s">
        <v>667</v>
      </c>
      <c r="D58" s="32">
        <v>1216</v>
      </c>
      <c r="E58" s="32">
        <v>1295</v>
      </c>
      <c r="F58" s="45">
        <v>6.5000000000000002E-2</v>
      </c>
      <c r="G58" s="32" t="s">
        <v>669</v>
      </c>
      <c r="H58" s="32" t="b">
        <v>0</v>
      </c>
    </row>
    <row r="59" spans="1:8">
      <c r="A59" s="32" t="s">
        <v>100</v>
      </c>
      <c r="B59" s="32" t="s">
        <v>584</v>
      </c>
      <c r="C59" s="32" t="s">
        <v>667</v>
      </c>
      <c r="D59" s="32">
        <v>1695</v>
      </c>
      <c r="E59" s="32">
        <v>1700</v>
      </c>
      <c r="F59" s="45">
        <v>3.0000000000000001E-3</v>
      </c>
      <c r="G59" s="32" t="s">
        <v>669</v>
      </c>
      <c r="H59" s="32" t="b">
        <v>0</v>
      </c>
    </row>
    <row r="60" spans="1:8">
      <c r="A60" s="32" t="s">
        <v>101</v>
      </c>
      <c r="B60" s="32" t="s">
        <v>584</v>
      </c>
      <c r="C60" s="32" t="s">
        <v>667</v>
      </c>
      <c r="D60" s="32">
        <v>3523</v>
      </c>
      <c r="E60" s="32">
        <v>2983</v>
      </c>
      <c r="F60" s="45">
        <v>-0.153</v>
      </c>
      <c r="G60" s="32" t="s">
        <v>668</v>
      </c>
      <c r="H60" s="32" t="b">
        <v>1</v>
      </c>
    </row>
    <row r="61" spans="1:8">
      <c r="A61" s="32" t="s">
        <v>102</v>
      </c>
      <c r="B61" s="32" t="s">
        <v>584</v>
      </c>
      <c r="C61" s="32" t="s">
        <v>667</v>
      </c>
      <c r="D61" s="32">
        <v>3076</v>
      </c>
      <c r="E61" s="32">
        <v>3010</v>
      </c>
      <c r="F61" s="45">
        <v>-2.1000000000000001E-2</v>
      </c>
      <c r="G61" s="32" t="s">
        <v>670</v>
      </c>
      <c r="H61" s="32" t="b">
        <v>1</v>
      </c>
    </row>
    <row r="62" spans="1:8">
      <c r="A62" s="32" t="s">
        <v>103</v>
      </c>
      <c r="B62" s="32" t="s">
        <v>584</v>
      </c>
      <c r="C62" s="32" t="s">
        <v>667</v>
      </c>
      <c r="D62" s="32">
        <v>677</v>
      </c>
      <c r="E62" s="32">
        <v>666</v>
      </c>
      <c r="F62" s="45">
        <v>-1.6E-2</v>
      </c>
      <c r="G62" s="32" t="s">
        <v>670</v>
      </c>
      <c r="H62" s="32" t="b">
        <v>1</v>
      </c>
    </row>
    <row r="63" spans="1:8">
      <c r="A63" s="32" t="s">
        <v>104</v>
      </c>
      <c r="B63" s="32" t="s">
        <v>584</v>
      </c>
      <c r="C63" s="32" t="s">
        <v>667</v>
      </c>
      <c r="D63" s="32">
        <v>4288</v>
      </c>
      <c r="E63" s="32">
        <v>4055</v>
      </c>
      <c r="F63" s="45">
        <v>-5.3999999999999999E-2</v>
      </c>
      <c r="G63" s="32" t="s">
        <v>668</v>
      </c>
      <c r="H63" s="32" t="b">
        <v>1</v>
      </c>
    </row>
    <row r="64" spans="1:8">
      <c r="A64" s="32" t="s">
        <v>105</v>
      </c>
      <c r="B64" s="32" t="s">
        <v>584</v>
      </c>
      <c r="C64" s="32" t="s">
        <v>667</v>
      </c>
      <c r="D64" s="32">
        <v>282</v>
      </c>
      <c r="E64" s="32">
        <v>276</v>
      </c>
      <c r="F64" s="45">
        <v>-2.1000000000000001E-2</v>
      </c>
      <c r="G64" s="32" t="s">
        <v>670</v>
      </c>
      <c r="H64" s="32" t="b">
        <v>1</v>
      </c>
    </row>
    <row r="65" spans="1:8">
      <c r="A65" s="32" t="s">
        <v>106</v>
      </c>
      <c r="B65" s="32" t="s">
        <v>584</v>
      </c>
      <c r="C65" s="32" t="s">
        <v>667</v>
      </c>
      <c r="D65" s="32">
        <v>5279</v>
      </c>
      <c r="E65" s="32">
        <v>5142</v>
      </c>
      <c r="F65" s="45">
        <v>-2.5999999999999999E-2</v>
      </c>
      <c r="G65" s="32" t="s">
        <v>670</v>
      </c>
      <c r="H65" s="32" t="b">
        <v>1</v>
      </c>
    </row>
    <row r="66" spans="1:8">
      <c r="A66" s="32" t="s">
        <v>107</v>
      </c>
      <c r="B66" s="32" t="s">
        <v>584</v>
      </c>
      <c r="C66" s="32" t="s">
        <v>667</v>
      </c>
      <c r="D66" s="32">
        <v>273</v>
      </c>
      <c r="E66" s="32">
        <v>238</v>
      </c>
      <c r="F66" s="45">
        <v>-0.128</v>
      </c>
      <c r="G66" s="32" t="s">
        <v>668</v>
      </c>
      <c r="H66" s="32" t="b">
        <v>1</v>
      </c>
    </row>
    <row r="67" spans="1:8">
      <c r="A67" s="32" t="s">
        <v>108</v>
      </c>
      <c r="B67" s="32" t="s">
        <v>584</v>
      </c>
      <c r="C67" s="32" t="s">
        <v>667</v>
      </c>
      <c r="D67" s="32">
        <v>1484</v>
      </c>
      <c r="E67" s="32">
        <v>1206</v>
      </c>
      <c r="F67" s="45">
        <v>-0.187</v>
      </c>
      <c r="G67" s="32" t="s">
        <v>668</v>
      </c>
      <c r="H67" s="32" t="b">
        <v>1</v>
      </c>
    </row>
    <row r="68" spans="1:8">
      <c r="A68" s="32" t="s">
        <v>109</v>
      </c>
      <c r="B68" s="32" t="s">
        <v>584</v>
      </c>
      <c r="C68" s="32" t="s">
        <v>667</v>
      </c>
      <c r="D68" s="32">
        <v>258</v>
      </c>
      <c r="E68" s="32">
        <v>321</v>
      </c>
      <c r="F68" s="45">
        <v>0.24399999999999999</v>
      </c>
      <c r="G68" s="32" t="s">
        <v>669</v>
      </c>
      <c r="H68" s="32" t="b">
        <v>0</v>
      </c>
    </row>
    <row r="69" spans="1:8">
      <c r="A69" s="32" t="s">
        <v>110</v>
      </c>
      <c r="B69" s="32" t="s">
        <v>584</v>
      </c>
      <c r="C69" s="32" t="s">
        <v>667</v>
      </c>
      <c r="D69" s="32">
        <v>1340</v>
      </c>
      <c r="E69" s="32">
        <v>1337</v>
      </c>
      <c r="F69" s="45">
        <v>-2E-3</v>
      </c>
      <c r="G69" s="32" t="s">
        <v>670</v>
      </c>
      <c r="H69" s="32" t="b">
        <v>0</v>
      </c>
    </row>
    <row r="70" spans="1:8">
      <c r="A70" s="32" t="s">
        <v>111</v>
      </c>
      <c r="B70" s="32" t="s">
        <v>584</v>
      </c>
      <c r="C70" s="32" t="s">
        <v>667</v>
      </c>
      <c r="D70" s="32">
        <v>2325</v>
      </c>
      <c r="E70" s="32">
        <v>2308</v>
      </c>
      <c r="F70" s="45">
        <v>-7.0000000000000001E-3</v>
      </c>
      <c r="G70" s="32" t="s">
        <v>670</v>
      </c>
      <c r="H70" s="32" t="b">
        <v>0</v>
      </c>
    </row>
    <row r="71" spans="1:8">
      <c r="A71" s="32" t="s">
        <v>112</v>
      </c>
      <c r="B71" s="32" t="s">
        <v>584</v>
      </c>
      <c r="C71" s="32" t="s">
        <v>667</v>
      </c>
      <c r="D71" s="32">
        <v>2225</v>
      </c>
      <c r="E71" s="32">
        <v>2227</v>
      </c>
      <c r="F71" s="45">
        <v>1E-3</v>
      </c>
      <c r="G71" s="32" t="s">
        <v>669</v>
      </c>
      <c r="H71" s="32" t="b">
        <v>0</v>
      </c>
    </row>
    <row r="72" spans="1:8">
      <c r="A72" s="32" t="s">
        <v>113</v>
      </c>
      <c r="B72" s="32" t="s">
        <v>584</v>
      </c>
      <c r="C72" s="32" t="s">
        <v>667</v>
      </c>
      <c r="D72" s="32">
        <v>1715</v>
      </c>
      <c r="E72" s="32">
        <v>1744</v>
      </c>
      <c r="F72" s="45">
        <v>1.7000000000000001E-2</v>
      </c>
      <c r="G72" s="32" t="s">
        <v>669</v>
      </c>
      <c r="H72" s="32" t="b">
        <v>0</v>
      </c>
    </row>
    <row r="73" spans="1:8">
      <c r="A73" s="32" t="s">
        <v>114</v>
      </c>
      <c r="B73" s="32" t="s">
        <v>584</v>
      </c>
      <c r="C73" s="32" t="s">
        <v>667</v>
      </c>
      <c r="D73" s="32">
        <v>2099</v>
      </c>
      <c r="E73" s="32">
        <v>2096</v>
      </c>
      <c r="F73" s="45">
        <v>-1E-3</v>
      </c>
      <c r="G73" s="32" t="s">
        <v>670</v>
      </c>
      <c r="H73" s="32" t="b">
        <v>0</v>
      </c>
    </row>
    <row r="74" spans="1:8">
      <c r="A74" s="32" t="s">
        <v>115</v>
      </c>
      <c r="B74" s="32" t="s">
        <v>584</v>
      </c>
      <c r="C74" s="32" t="s">
        <v>667</v>
      </c>
      <c r="D74" s="32">
        <v>2019</v>
      </c>
      <c r="E74" s="32">
        <v>2021</v>
      </c>
      <c r="F74" s="45">
        <v>1E-3</v>
      </c>
      <c r="G74" s="32" t="s">
        <v>669</v>
      </c>
      <c r="H74" s="32" t="b">
        <v>0</v>
      </c>
    </row>
    <row r="75" spans="1:8">
      <c r="A75" s="32" t="s">
        <v>116</v>
      </c>
      <c r="B75" s="32" t="s">
        <v>584</v>
      </c>
      <c r="C75" s="32" t="s">
        <v>667</v>
      </c>
      <c r="D75" s="32">
        <v>1405</v>
      </c>
      <c r="E75" s="32">
        <v>1396</v>
      </c>
      <c r="F75" s="45">
        <v>-6.0000000000000001E-3</v>
      </c>
      <c r="G75" s="32" t="s">
        <v>670</v>
      </c>
      <c r="H75" s="32" t="b">
        <v>0</v>
      </c>
    </row>
    <row r="76" spans="1:8">
      <c r="A76" s="32" t="s">
        <v>117</v>
      </c>
      <c r="B76" s="32" t="s">
        <v>584</v>
      </c>
      <c r="C76" s="32" t="s">
        <v>667</v>
      </c>
      <c r="D76" s="32">
        <v>1104</v>
      </c>
      <c r="E76" s="32">
        <v>1133</v>
      </c>
      <c r="F76" s="45">
        <v>2.5999999999999999E-2</v>
      </c>
      <c r="G76" s="32" t="s">
        <v>669</v>
      </c>
      <c r="H76" s="32" t="b">
        <v>0</v>
      </c>
    </row>
    <row r="77" spans="1:8">
      <c r="A77" s="32" t="s">
        <v>118</v>
      </c>
      <c r="B77" s="32" t="s">
        <v>584</v>
      </c>
      <c r="C77" s="32" t="s">
        <v>667</v>
      </c>
      <c r="D77" s="32">
        <v>1875</v>
      </c>
      <c r="E77" s="32">
        <v>1935</v>
      </c>
      <c r="F77" s="45">
        <v>3.2000000000000001E-2</v>
      </c>
      <c r="G77" s="32" t="s">
        <v>669</v>
      </c>
      <c r="H77" s="32" t="b">
        <v>0</v>
      </c>
    </row>
    <row r="78" spans="1:8">
      <c r="A78" s="32" t="s">
        <v>119</v>
      </c>
      <c r="B78" s="32" t="s">
        <v>584</v>
      </c>
      <c r="C78" s="32" t="s">
        <v>667</v>
      </c>
      <c r="D78" s="32">
        <v>1654</v>
      </c>
      <c r="E78" s="32">
        <v>1632</v>
      </c>
      <c r="F78" s="45">
        <v>-1.2999999999999999E-2</v>
      </c>
      <c r="G78" s="32" t="s">
        <v>670</v>
      </c>
      <c r="H78" s="32" t="b">
        <v>0</v>
      </c>
    </row>
    <row r="79" spans="1:8">
      <c r="A79" s="32" t="s">
        <v>120</v>
      </c>
      <c r="B79" s="32" t="s">
        <v>584</v>
      </c>
      <c r="C79" s="32" t="s">
        <v>667</v>
      </c>
      <c r="D79" s="32">
        <v>892</v>
      </c>
      <c r="E79" s="32">
        <v>889</v>
      </c>
      <c r="F79" s="45">
        <v>-3.0000000000000001E-3</v>
      </c>
      <c r="G79" s="32" t="s">
        <v>670</v>
      </c>
      <c r="H79" s="32" t="b">
        <v>0</v>
      </c>
    </row>
    <row r="80" spans="1:8">
      <c r="A80" s="32" t="s">
        <v>121</v>
      </c>
      <c r="B80" s="32" t="s">
        <v>584</v>
      </c>
      <c r="C80" s="32" t="s">
        <v>667</v>
      </c>
      <c r="D80" s="32">
        <v>549</v>
      </c>
      <c r="E80" s="32">
        <v>619</v>
      </c>
      <c r="F80" s="45">
        <v>0.128</v>
      </c>
      <c r="G80" s="32" t="s">
        <v>669</v>
      </c>
      <c r="H80" s="32" t="b">
        <v>0</v>
      </c>
    </row>
    <row r="81" spans="1:8">
      <c r="A81" s="32" t="s">
        <v>122</v>
      </c>
      <c r="B81" s="32" t="s">
        <v>584</v>
      </c>
      <c r="C81" s="32" t="s">
        <v>667</v>
      </c>
      <c r="D81" s="32">
        <v>1274</v>
      </c>
      <c r="E81" s="32">
        <v>1334</v>
      </c>
      <c r="F81" s="45">
        <v>4.7E-2</v>
      </c>
      <c r="G81" s="32" t="s">
        <v>669</v>
      </c>
      <c r="H81" s="32" t="b">
        <v>0</v>
      </c>
    </row>
    <row r="82" spans="1:8">
      <c r="A82" s="32" t="s">
        <v>123</v>
      </c>
      <c r="B82" s="32" t="s">
        <v>584</v>
      </c>
      <c r="C82" s="32" t="s">
        <v>667</v>
      </c>
      <c r="D82" s="32">
        <v>107</v>
      </c>
      <c r="E82" s="32">
        <v>181</v>
      </c>
      <c r="F82" s="45">
        <v>0.69199999999999995</v>
      </c>
      <c r="G82" s="32" t="s">
        <v>669</v>
      </c>
      <c r="H82" s="32" t="b">
        <v>0</v>
      </c>
    </row>
    <row r="83" spans="1:8">
      <c r="A83" s="32" t="s">
        <v>124</v>
      </c>
      <c r="B83" s="32" t="s">
        <v>584</v>
      </c>
      <c r="C83" s="32" t="s">
        <v>667</v>
      </c>
      <c r="D83" s="32">
        <v>1475</v>
      </c>
      <c r="E83" s="32">
        <v>1433</v>
      </c>
      <c r="F83" s="45">
        <v>-2.8000000000000001E-2</v>
      </c>
      <c r="G83" s="32" t="s">
        <v>670</v>
      </c>
      <c r="H83" s="32" t="b">
        <v>1</v>
      </c>
    </row>
    <row r="84" spans="1:8">
      <c r="A84" s="32" t="s">
        <v>125</v>
      </c>
      <c r="B84" s="32" t="s">
        <v>584</v>
      </c>
      <c r="C84" s="32" t="s">
        <v>667</v>
      </c>
      <c r="D84" s="32">
        <v>1506</v>
      </c>
      <c r="E84" s="32">
        <v>1495</v>
      </c>
      <c r="F84" s="45">
        <v>-7.0000000000000001E-3</v>
      </c>
      <c r="G84" s="32" t="s">
        <v>670</v>
      </c>
      <c r="H84" s="32" t="b">
        <v>0</v>
      </c>
    </row>
    <row r="85" spans="1:8">
      <c r="A85" s="32" t="s">
        <v>126</v>
      </c>
      <c r="B85" s="32" t="s">
        <v>584</v>
      </c>
      <c r="C85" s="32" t="s">
        <v>667</v>
      </c>
      <c r="D85" s="32">
        <v>873</v>
      </c>
      <c r="E85" s="32">
        <v>881</v>
      </c>
      <c r="F85" s="45">
        <v>8.9999999999999993E-3</v>
      </c>
      <c r="G85" s="32" t="s">
        <v>669</v>
      </c>
      <c r="H85" s="32" t="b">
        <v>0</v>
      </c>
    </row>
    <row r="86" spans="1:8">
      <c r="A86" s="32" t="s">
        <v>127</v>
      </c>
      <c r="B86" s="32" t="s">
        <v>584</v>
      </c>
      <c r="C86" s="32" t="s">
        <v>667</v>
      </c>
      <c r="D86" s="32">
        <v>1855</v>
      </c>
      <c r="E86" s="32">
        <v>1890</v>
      </c>
      <c r="F86" s="45">
        <v>1.9E-2</v>
      </c>
      <c r="G86" s="32" t="s">
        <v>669</v>
      </c>
      <c r="H86" s="32" t="b">
        <v>0</v>
      </c>
    </row>
    <row r="87" spans="1:8">
      <c r="A87" s="32" t="s">
        <v>128</v>
      </c>
      <c r="B87" s="32" t="s">
        <v>584</v>
      </c>
      <c r="C87" s="32" t="s">
        <v>667</v>
      </c>
      <c r="D87" s="32">
        <v>1899</v>
      </c>
      <c r="E87" s="32">
        <v>1879</v>
      </c>
      <c r="F87" s="45">
        <v>-1.0999999999999999E-2</v>
      </c>
      <c r="G87" s="32" t="s">
        <v>670</v>
      </c>
      <c r="H87" s="32" t="b">
        <v>0</v>
      </c>
    </row>
    <row r="88" spans="1:8">
      <c r="A88" s="32" t="s">
        <v>129</v>
      </c>
      <c r="B88" s="32" t="s">
        <v>584</v>
      </c>
      <c r="C88" s="32" t="s">
        <v>667</v>
      </c>
      <c r="D88" s="32">
        <v>589</v>
      </c>
      <c r="E88" s="32">
        <v>755</v>
      </c>
      <c r="F88" s="45">
        <v>0.28199999999999997</v>
      </c>
      <c r="G88" s="32" t="s">
        <v>669</v>
      </c>
      <c r="H88" s="32" t="b">
        <v>0</v>
      </c>
    </row>
    <row r="89" spans="1:8">
      <c r="A89" s="32" t="s">
        <v>130</v>
      </c>
      <c r="B89" s="32" t="s">
        <v>584</v>
      </c>
      <c r="C89" s="32" t="s">
        <v>667</v>
      </c>
      <c r="D89" s="32">
        <v>1463</v>
      </c>
      <c r="E89" s="32">
        <v>1612</v>
      </c>
      <c r="F89" s="45">
        <v>0.10199999999999999</v>
      </c>
      <c r="G89" s="32" t="s">
        <v>669</v>
      </c>
      <c r="H89" s="32" t="b">
        <v>0</v>
      </c>
    </row>
    <row r="90" spans="1:8">
      <c r="A90" s="32" t="s">
        <v>131</v>
      </c>
      <c r="B90" s="32" t="s">
        <v>584</v>
      </c>
      <c r="C90" s="32" t="s">
        <v>667</v>
      </c>
      <c r="D90" s="32">
        <v>1190</v>
      </c>
      <c r="E90" s="32">
        <v>1350</v>
      </c>
      <c r="F90" s="45">
        <v>0.13400000000000001</v>
      </c>
      <c r="G90" s="32" t="s">
        <v>669</v>
      </c>
      <c r="H90" s="32" t="b">
        <v>0</v>
      </c>
    </row>
    <row r="91" spans="1:8">
      <c r="A91" s="32" t="s">
        <v>132</v>
      </c>
      <c r="B91" s="32" t="s">
        <v>584</v>
      </c>
      <c r="C91" s="32" t="s">
        <v>667</v>
      </c>
      <c r="D91" s="32">
        <v>796</v>
      </c>
      <c r="E91" s="32">
        <v>864</v>
      </c>
      <c r="F91" s="45">
        <v>8.5000000000000006E-2</v>
      </c>
      <c r="G91" s="32" t="s">
        <v>669</v>
      </c>
      <c r="H91" s="32" t="b">
        <v>0</v>
      </c>
    </row>
    <row r="92" spans="1:8">
      <c r="A92" s="32" t="s">
        <v>133</v>
      </c>
      <c r="B92" s="32" t="s">
        <v>584</v>
      </c>
      <c r="C92" s="32" t="s">
        <v>667</v>
      </c>
      <c r="D92" s="32">
        <v>612</v>
      </c>
      <c r="E92" s="32">
        <v>632</v>
      </c>
      <c r="F92" s="45">
        <v>3.3000000000000002E-2</v>
      </c>
      <c r="G92" s="32" t="s">
        <v>669</v>
      </c>
      <c r="H92" s="32" t="b">
        <v>0</v>
      </c>
    </row>
    <row r="93" spans="1:8">
      <c r="A93" s="32" t="s">
        <v>134</v>
      </c>
      <c r="B93" s="32" t="s">
        <v>586</v>
      </c>
      <c r="C93" s="32" t="s">
        <v>667</v>
      </c>
      <c r="D93" s="32">
        <v>1347</v>
      </c>
      <c r="E93" s="32">
        <v>1359</v>
      </c>
      <c r="F93" s="45">
        <v>8.9999999999999993E-3</v>
      </c>
      <c r="G93" s="32" t="s">
        <v>669</v>
      </c>
      <c r="H93" s="32" t="b">
        <v>0</v>
      </c>
    </row>
    <row r="94" spans="1:8">
      <c r="A94" s="32" t="s">
        <v>135</v>
      </c>
      <c r="B94" s="32" t="s">
        <v>586</v>
      </c>
      <c r="C94" s="32" t="s">
        <v>667</v>
      </c>
      <c r="D94" s="32">
        <v>1451</v>
      </c>
      <c r="E94" s="32">
        <v>1508</v>
      </c>
      <c r="F94" s="45">
        <v>3.9E-2</v>
      </c>
      <c r="G94" s="32" t="s">
        <v>669</v>
      </c>
      <c r="H94" s="32" t="b">
        <v>0</v>
      </c>
    </row>
    <row r="95" spans="1:8">
      <c r="A95" s="32" t="s">
        <v>136</v>
      </c>
      <c r="B95" s="32" t="s">
        <v>586</v>
      </c>
      <c r="C95" s="32" t="s">
        <v>667</v>
      </c>
      <c r="D95" s="32">
        <v>744</v>
      </c>
      <c r="E95" s="32">
        <v>584</v>
      </c>
      <c r="F95" s="45">
        <v>-0.215</v>
      </c>
      <c r="G95" s="32" t="s">
        <v>668</v>
      </c>
      <c r="H95" s="32" t="b">
        <v>1</v>
      </c>
    </row>
    <row r="96" spans="1:8">
      <c r="A96" s="32" t="s">
        <v>137</v>
      </c>
      <c r="B96" s="32" t="s">
        <v>586</v>
      </c>
      <c r="C96" s="32" t="s">
        <v>667</v>
      </c>
      <c r="D96" s="32">
        <v>1156</v>
      </c>
      <c r="E96" s="32">
        <v>1108</v>
      </c>
      <c r="F96" s="45">
        <v>-4.2000000000000003E-2</v>
      </c>
      <c r="G96" s="32" t="s">
        <v>670</v>
      </c>
      <c r="H96" s="32" t="b">
        <v>1</v>
      </c>
    </row>
    <row r="97" spans="1:8">
      <c r="A97" s="32" t="s">
        <v>138</v>
      </c>
      <c r="B97" s="32" t="s">
        <v>586</v>
      </c>
      <c r="C97" s="32" t="s">
        <v>667</v>
      </c>
      <c r="D97" s="32">
        <v>1305</v>
      </c>
      <c r="E97" s="32">
        <v>1315</v>
      </c>
      <c r="F97" s="45">
        <v>8.0000000000000002E-3</v>
      </c>
      <c r="G97" s="32" t="s">
        <v>669</v>
      </c>
      <c r="H97" s="32" t="b">
        <v>0</v>
      </c>
    </row>
    <row r="98" spans="1:8">
      <c r="A98" s="32" t="s">
        <v>140</v>
      </c>
      <c r="B98" s="32" t="s">
        <v>586</v>
      </c>
      <c r="C98" s="32" t="s">
        <v>667</v>
      </c>
      <c r="D98" s="32">
        <v>629</v>
      </c>
      <c r="E98" s="32">
        <v>459</v>
      </c>
      <c r="F98" s="45">
        <v>-0.27</v>
      </c>
      <c r="G98" s="32" t="s">
        <v>668</v>
      </c>
      <c r="H98" s="32" t="b">
        <v>1</v>
      </c>
    </row>
    <row r="99" spans="1:8">
      <c r="A99" s="32" t="s">
        <v>141</v>
      </c>
      <c r="B99" s="32" t="s">
        <v>586</v>
      </c>
      <c r="C99" s="32" t="s">
        <v>667</v>
      </c>
      <c r="D99" s="32">
        <v>27</v>
      </c>
      <c r="E99" s="32">
        <v>23</v>
      </c>
      <c r="F99" s="45">
        <v>-0.14799999999999999</v>
      </c>
      <c r="G99" s="32" t="s">
        <v>668</v>
      </c>
      <c r="H99" s="32" t="b">
        <v>1</v>
      </c>
    </row>
    <row r="100" spans="1:8">
      <c r="A100" s="32" t="s">
        <v>142</v>
      </c>
      <c r="B100" s="32" t="s">
        <v>586</v>
      </c>
      <c r="C100" s="32" t="s">
        <v>667</v>
      </c>
      <c r="D100" s="32">
        <v>352</v>
      </c>
      <c r="E100" s="32">
        <v>277</v>
      </c>
      <c r="F100" s="45">
        <v>-0.21299999999999999</v>
      </c>
      <c r="G100" s="32" t="s">
        <v>668</v>
      </c>
      <c r="H100" s="32" t="b">
        <v>1</v>
      </c>
    </row>
    <row r="101" spans="1:8">
      <c r="A101" s="32" t="s">
        <v>143</v>
      </c>
      <c r="B101" s="32" t="s">
        <v>586</v>
      </c>
      <c r="C101" s="32" t="s">
        <v>667</v>
      </c>
      <c r="D101" s="32">
        <v>553</v>
      </c>
      <c r="E101" s="32">
        <v>579</v>
      </c>
      <c r="F101" s="45">
        <v>4.7E-2</v>
      </c>
      <c r="G101" s="32" t="s">
        <v>669</v>
      </c>
      <c r="H101" s="32" t="b">
        <v>0</v>
      </c>
    </row>
    <row r="102" spans="1:8">
      <c r="A102" s="32" t="s">
        <v>144</v>
      </c>
      <c r="B102" s="32" t="s">
        <v>586</v>
      </c>
      <c r="C102" s="32" t="s">
        <v>667</v>
      </c>
      <c r="D102" s="32">
        <v>637</v>
      </c>
      <c r="E102" s="32">
        <v>694</v>
      </c>
      <c r="F102" s="45">
        <v>8.8999999999999996E-2</v>
      </c>
      <c r="G102" s="32" t="s">
        <v>669</v>
      </c>
      <c r="H102" s="32" t="b">
        <v>0</v>
      </c>
    </row>
    <row r="103" spans="1:8">
      <c r="A103" s="32" t="s">
        <v>145</v>
      </c>
      <c r="B103" s="32" t="s">
        <v>586</v>
      </c>
      <c r="C103" s="32" t="s">
        <v>667</v>
      </c>
      <c r="D103" s="32">
        <v>456</v>
      </c>
      <c r="E103" s="32">
        <v>472</v>
      </c>
      <c r="F103" s="45">
        <v>3.5000000000000003E-2</v>
      </c>
      <c r="G103" s="32" t="s">
        <v>669</v>
      </c>
      <c r="H103" s="32" t="b">
        <v>0</v>
      </c>
    </row>
    <row r="104" spans="1:8">
      <c r="A104" s="32" t="s">
        <v>146</v>
      </c>
      <c r="B104" s="32" t="s">
        <v>586</v>
      </c>
      <c r="C104" s="32" t="s">
        <v>667</v>
      </c>
      <c r="D104" s="32">
        <v>1519</v>
      </c>
      <c r="E104" s="32">
        <v>1509</v>
      </c>
      <c r="F104" s="45">
        <v>-7.0000000000000001E-3</v>
      </c>
      <c r="G104" s="32" t="s">
        <v>670</v>
      </c>
      <c r="H104" s="32" t="b">
        <v>0</v>
      </c>
    </row>
    <row r="105" spans="1:8">
      <c r="A105" s="32" t="s">
        <v>147</v>
      </c>
      <c r="B105" s="32" t="s">
        <v>586</v>
      </c>
      <c r="C105" s="32" t="s">
        <v>667</v>
      </c>
      <c r="D105" s="32">
        <v>418</v>
      </c>
      <c r="E105" s="32">
        <v>421</v>
      </c>
      <c r="F105" s="45">
        <v>7.0000000000000001E-3</v>
      </c>
      <c r="G105" s="32" t="s">
        <v>669</v>
      </c>
      <c r="H105" s="32" t="b">
        <v>0</v>
      </c>
    </row>
    <row r="106" spans="1:8">
      <c r="A106" s="32" t="s">
        <v>148</v>
      </c>
      <c r="B106" s="32" t="s">
        <v>586</v>
      </c>
      <c r="C106" s="32" t="s">
        <v>667</v>
      </c>
      <c r="D106" s="32">
        <v>437</v>
      </c>
      <c r="E106" s="32">
        <v>501</v>
      </c>
      <c r="F106" s="45">
        <v>0.14599999999999999</v>
      </c>
      <c r="G106" s="32" t="s">
        <v>669</v>
      </c>
      <c r="H106" s="32" t="b">
        <v>0</v>
      </c>
    </row>
    <row r="107" spans="1:8">
      <c r="A107" s="32" t="s">
        <v>149</v>
      </c>
      <c r="B107" s="32" t="s">
        <v>586</v>
      </c>
      <c r="C107" s="32" t="s">
        <v>667</v>
      </c>
      <c r="D107" s="32">
        <v>1477</v>
      </c>
      <c r="E107" s="32">
        <v>1361</v>
      </c>
      <c r="F107" s="45">
        <v>-7.9000000000000001E-2</v>
      </c>
      <c r="G107" s="32" t="s">
        <v>668</v>
      </c>
      <c r="H107" s="32" t="b">
        <v>1</v>
      </c>
    </row>
    <row r="108" spans="1:8">
      <c r="A108" s="32" t="s">
        <v>150</v>
      </c>
      <c r="B108" s="32" t="s">
        <v>586</v>
      </c>
      <c r="C108" s="32" t="s">
        <v>667</v>
      </c>
      <c r="D108" s="32">
        <v>1822</v>
      </c>
      <c r="E108" s="32">
        <v>1521</v>
      </c>
      <c r="F108" s="45">
        <v>-0.16500000000000001</v>
      </c>
      <c r="G108" s="32" t="s">
        <v>668</v>
      </c>
      <c r="H108" s="32" t="b">
        <v>1</v>
      </c>
    </row>
    <row r="109" spans="1:8">
      <c r="A109" s="32" t="s">
        <v>151</v>
      </c>
      <c r="B109" s="32" t="s">
        <v>586</v>
      </c>
      <c r="C109" s="32" t="s">
        <v>667</v>
      </c>
      <c r="D109" s="32">
        <v>1311</v>
      </c>
      <c r="E109" s="32">
        <v>807</v>
      </c>
      <c r="F109" s="45">
        <v>-0.38400000000000001</v>
      </c>
      <c r="G109" s="32" t="s">
        <v>668</v>
      </c>
      <c r="H109" s="32" t="b">
        <v>1</v>
      </c>
    </row>
    <row r="110" spans="1:8">
      <c r="A110" s="32" t="s">
        <v>152</v>
      </c>
      <c r="B110" s="32" t="s">
        <v>586</v>
      </c>
      <c r="C110" s="32" t="s">
        <v>667</v>
      </c>
      <c r="D110" s="32">
        <v>740</v>
      </c>
      <c r="E110" s="32">
        <v>250</v>
      </c>
      <c r="F110" s="45">
        <v>-0.66200000000000003</v>
      </c>
      <c r="G110" s="32" t="s">
        <v>668</v>
      </c>
      <c r="H110" s="32" t="b">
        <v>1</v>
      </c>
    </row>
    <row r="111" spans="1:8">
      <c r="A111" s="32" t="s">
        <v>153</v>
      </c>
      <c r="B111" s="32" t="s">
        <v>586</v>
      </c>
      <c r="C111" s="32" t="s">
        <v>667</v>
      </c>
      <c r="D111" s="32">
        <v>4363</v>
      </c>
      <c r="E111" s="32">
        <v>4234</v>
      </c>
      <c r="F111" s="45">
        <v>-0.03</v>
      </c>
      <c r="G111" s="32" t="s">
        <v>670</v>
      </c>
      <c r="H111" s="32" t="b">
        <v>1</v>
      </c>
    </row>
    <row r="112" spans="1:8">
      <c r="A112" s="32" t="s">
        <v>154</v>
      </c>
      <c r="B112" s="32" t="s">
        <v>586</v>
      </c>
      <c r="C112" s="32" t="s">
        <v>667</v>
      </c>
      <c r="D112" s="32">
        <v>5142</v>
      </c>
      <c r="E112" s="32">
        <v>5446</v>
      </c>
      <c r="F112" s="45">
        <v>5.8999999999999997E-2</v>
      </c>
      <c r="G112" s="32" t="s">
        <v>669</v>
      </c>
      <c r="H112" s="32" t="b">
        <v>0</v>
      </c>
    </row>
    <row r="113" spans="1:8">
      <c r="A113" s="32" t="s">
        <v>155</v>
      </c>
      <c r="B113" s="32" t="s">
        <v>586</v>
      </c>
      <c r="C113" s="32" t="s">
        <v>667</v>
      </c>
      <c r="D113" s="32">
        <v>1050</v>
      </c>
      <c r="E113" s="32">
        <v>1061</v>
      </c>
      <c r="F113" s="45">
        <v>0.01</v>
      </c>
      <c r="G113" s="32" t="s">
        <v>669</v>
      </c>
      <c r="H113" s="32" t="b">
        <v>0</v>
      </c>
    </row>
    <row r="114" spans="1:8">
      <c r="A114" s="32" t="s">
        <v>156</v>
      </c>
      <c r="B114" s="32" t="s">
        <v>586</v>
      </c>
      <c r="C114" s="32" t="s">
        <v>667</v>
      </c>
      <c r="D114" s="32">
        <v>1920</v>
      </c>
      <c r="E114" s="32">
        <v>2292</v>
      </c>
      <c r="F114" s="45">
        <v>0.19400000000000001</v>
      </c>
      <c r="G114" s="32" t="s">
        <v>669</v>
      </c>
      <c r="H114" s="32" t="b">
        <v>0</v>
      </c>
    </row>
    <row r="115" spans="1:8">
      <c r="A115" s="32" t="s">
        <v>157</v>
      </c>
      <c r="B115" s="32" t="s">
        <v>586</v>
      </c>
      <c r="C115" s="32" t="s">
        <v>667</v>
      </c>
      <c r="D115" s="32">
        <v>1519</v>
      </c>
      <c r="E115" s="32">
        <v>1576</v>
      </c>
      <c r="F115" s="45">
        <v>3.7999999999999999E-2</v>
      </c>
      <c r="G115" s="32" t="s">
        <v>669</v>
      </c>
      <c r="H115" s="32" t="b">
        <v>0</v>
      </c>
    </row>
    <row r="116" spans="1:8">
      <c r="A116" s="32" t="s">
        <v>158</v>
      </c>
      <c r="B116" s="32" t="s">
        <v>586</v>
      </c>
      <c r="C116" s="32" t="s">
        <v>667</v>
      </c>
      <c r="D116" s="32">
        <v>2206</v>
      </c>
      <c r="E116" s="32">
        <v>2218</v>
      </c>
      <c r="F116" s="45">
        <v>5.0000000000000001E-3</v>
      </c>
      <c r="G116" s="32" t="s">
        <v>669</v>
      </c>
      <c r="H116" s="32" t="b">
        <v>0</v>
      </c>
    </row>
    <row r="117" spans="1:8">
      <c r="A117" s="32" t="s">
        <v>159</v>
      </c>
      <c r="B117" s="32" t="s">
        <v>586</v>
      </c>
      <c r="C117" s="32" t="s">
        <v>667</v>
      </c>
      <c r="D117" s="32">
        <v>370</v>
      </c>
      <c r="E117" s="32">
        <v>451</v>
      </c>
      <c r="F117" s="45">
        <v>0.219</v>
      </c>
      <c r="G117" s="32" t="s">
        <v>669</v>
      </c>
      <c r="H117" s="32" t="b">
        <v>0</v>
      </c>
    </row>
    <row r="118" spans="1:8">
      <c r="A118" s="32" t="s">
        <v>160</v>
      </c>
      <c r="B118" s="32" t="s">
        <v>586</v>
      </c>
      <c r="C118" s="32" t="s">
        <v>667</v>
      </c>
      <c r="D118" s="32">
        <v>1806</v>
      </c>
      <c r="E118" s="32">
        <v>2121</v>
      </c>
      <c r="F118" s="45">
        <v>0.17399999999999999</v>
      </c>
      <c r="G118" s="32" t="s">
        <v>669</v>
      </c>
      <c r="H118" s="32" t="b">
        <v>0</v>
      </c>
    </row>
    <row r="119" spans="1:8">
      <c r="A119" s="32" t="s">
        <v>161</v>
      </c>
      <c r="B119" s="32" t="s">
        <v>586</v>
      </c>
      <c r="C119" s="32" t="s">
        <v>667</v>
      </c>
      <c r="D119" s="32">
        <v>24</v>
      </c>
      <c r="E119" s="32">
        <v>29</v>
      </c>
      <c r="F119" s="45">
        <v>0.20799999999999999</v>
      </c>
      <c r="G119" s="32" t="s">
        <v>669</v>
      </c>
      <c r="H119" s="32" t="b">
        <v>0</v>
      </c>
    </row>
    <row r="120" spans="1:8">
      <c r="A120" s="32" t="s">
        <v>162</v>
      </c>
      <c r="B120" s="32" t="s">
        <v>586</v>
      </c>
      <c r="C120" s="32" t="s">
        <v>667</v>
      </c>
      <c r="D120" s="32">
        <v>1406</v>
      </c>
      <c r="E120" s="32">
        <v>1406</v>
      </c>
      <c r="F120" s="45">
        <v>0</v>
      </c>
      <c r="G120" s="32" t="s">
        <v>669</v>
      </c>
      <c r="H120" s="32" t="b">
        <v>0</v>
      </c>
    </row>
    <row r="121" spans="1:8">
      <c r="A121" s="32" t="s">
        <v>82</v>
      </c>
      <c r="B121" s="32" t="s">
        <v>586</v>
      </c>
      <c r="C121" s="32" t="s">
        <v>667</v>
      </c>
      <c r="D121" s="32">
        <v>1427</v>
      </c>
      <c r="E121" s="32">
        <v>1422</v>
      </c>
      <c r="F121" s="45">
        <v>-4.0000000000000001E-3</v>
      </c>
      <c r="G121" s="32" t="s">
        <v>670</v>
      </c>
      <c r="H121" s="32" t="b">
        <v>0</v>
      </c>
    </row>
    <row r="122" spans="1:8">
      <c r="A122" s="32" t="s">
        <v>163</v>
      </c>
      <c r="B122" s="32" t="s">
        <v>586</v>
      </c>
      <c r="C122" s="32" t="s">
        <v>667</v>
      </c>
      <c r="D122" s="32">
        <v>1492</v>
      </c>
      <c r="E122" s="32">
        <v>1511</v>
      </c>
      <c r="F122" s="45">
        <v>1.2999999999999999E-2</v>
      </c>
      <c r="G122" s="32" t="s">
        <v>669</v>
      </c>
      <c r="H122" s="32" t="b">
        <v>0</v>
      </c>
    </row>
    <row r="123" spans="1:8">
      <c r="A123" s="32" t="s">
        <v>164</v>
      </c>
      <c r="B123" s="32" t="s">
        <v>586</v>
      </c>
      <c r="C123" s="32" t="s">
        <v>667</v>
      </c>
      <c r="D123" s="32">
        <v>911</v>
      </c>
      <c r="E123" s="32">
        <v>918</v>
      </c>
      <c r="F123" s="45">
        <v>8.0000000000000002E-3</v>
      </c>
      <c r="G123" s="32" t="s">
        <v>669</v>
      </c>
      <c r="H123" s="32" t="b">
        <v>0</v>
      </c>
    </row>
    <row r="124" spans="1:8">
      <c r="A124" s="32" t="s">
        <v>165</v>
      </c>
      <c r="B124" s="32" t="s">
        <v>586</v>
      </c>
      <c r="C124" s="32" t="s">
        <v>667</v>
      </c>
      <c r="D124" s="32">
        <v>733</v>
      </c>
      <c r="E124" s="32">
        <v>749</v>
      </c>
      <c r="F124" s="45">
        <v>2.1999999999999999E-2</v>
      </c>
      <c r="G124" s="32" t="s">
        <v>669</v>
      </c>
      <c r="H124" s="32" t="b">
        <v>0</v>
      </c>
    </row>
    <row r="125" spans="1:8">
      <c r="A125" s="32" t="s">
        <v>166</v>
      </c>
      <c r="B125" s="32" t="s">
        <v>586</v>
      </c>
      <c r="C125" s="32" t="s">
        <v>667</v>
      </c>
      <c r="D125" s="32">
        <v>853</v>
      </c>
      <c r="E125" s="32">
        <v>883</v>
      </c>
      <c r="F125" s="45">
        <v>3.5000000000000003E-2</v>
      </c>
      <c r="G125" s="32" t="s">
        <v>669</v>
      </c>
      <c r="H125" s="32" t="b">
        <v>0</v>
      </c>
    </row>
    <row r="126" spans="1:8">
      <c r="A126" s="32" t="s">
        <v>167</v>
      </c>
      <c r="B126" s="32" t="s">
        <v>586</v>
      </c>
      <c r="C126" s="32" t="s">
        <v>667</v>
      </c>
      <c r="D126" s="32">
        <v>763</v>
      </c>
      <c r="E126" s="32">
        <v>772</v>
      </c>
      <c r="F126" s="45">
        <v>1.2E-2</v>
      </c>
      <c r="G126" s="32" t="s">
        <v>669</v>
      </c>
      <c r="H126" s="32" t="b">
        <v>0</v>
      </c>
    </row>
    <row r="127" spans="1:8">
      <c r="A127" s="32" t="s">
        <v>168</v>
      </c>
      <c r="B127" s="32" t="s">
        <v>586</v>
      </c>
      <c r="C127" s="32" t="s">
        <v>667</v>
      </c>
      <c r="D127" s="32">
        <v>680</v>
      </c>
      <c r="E127" s="32">
        <v>697</v>
      </c>
      <c r="F127" s="45">
        <v>2.5000000000000001E-2</v>
      </c>
      <c r="G127" s="32" t="s">
        <v>669</v>
      </c>
      <c r="H127" s="32" t="b">
        <v>0</v>
      </c>
    </row>
    <row r="128" spans="1:8">
      <c r="A128" s="32" t="s">
        <v>169</v>
      </c>
      <c r="B128" s="32" t="s">
        <v>586</v>
      </c>
      <c r="C128" s="32" t="s">
        <v>667</v>
      </c>
      <c r="D128" s="32">
        <v>510</v>
      </c>
      <c r="E128" s="32">
        <v>491</v>
      </c>
      <c r="F128" s="45">
        <v>-3.6999999999999998E-2</v>
      </c>
      <c r="G128" s="32" t="s">
        <v>670</v>
      </c>
      <c r="H128" s="32" t="b">
        <v>1</v>
      </c>
    </row>
    <row r="129" spans="1:8">
      <c r="A129" s="32" t="s">
        <v>170</v>
      </c>
      <c r="B129" s="32" t="s">
        <v>586</v>
      </c>
      <c r="C129" s="32" t="s">
        <v>667</v>
      </c>
      <c r="D129" s="32">
        <v>1554</v>
      </c>
      <c r="E129" s="32">
        <v>1560</v>
      </c>
      <c r="F129" s="45">
        <v>4.0000000000000001E-3</v>
      </c>
      <c r="G129" s="32" t="s">
        <v>669</v>
      </c>
      <c r="H129" s="32" t="b">
        <v>0</v>
      </c>
    </row>
    <row r="130" spans="1:8">
      <c r="A130" s="32" t="s">
        <v>171</v>
      </c>
      <c r="B130" s="32" t="s">
        <v>586</v>
      </c>
      <c r="C130" s="32" t="s">
        <v>667</v>
      </c>
      <c r="D130" s="32">
        <v>1737</v>
      </c>
      <c r="E130" s="32">
        <v>1730</v>
      </c>
      <c r="F130" s="45">
        <v>-4.0000000000000001E-3</v>
      </c>
      <c r="G130" s="32" t="s">
        <v>670</v>
      </c>
      <c r="H130" s="32" t="b">
        <v>0</v>
      </c>
    </row>
    <row r="131" spans="1:8">
      <c r="A131" s="32" t="s">
        <v>172</v>
      </c>
      <c r="B131" s="32" t="s">
        <v>586</v>
      </c>
      <c r="C131" s="32" t="s">
        <v>667</v>
      </c>
      <c r="D131" s="32">
        <v>2124</v>
      </c>
      <c r="E131" s="32">
        <v>2090</v>
      </c>
      <c r="F131" s="45">
        <v>-1.6E-2</v>
      </c>
      <c r="G131" s="32" t="s">
        <v>670</v>
      </c>
      <c r="H131" s="32" t="b">
        <v>1</v>
      </c>
    </row>
    <row r="132" spans="1:8">
      <c r="A132" s="32" t="s">
        <v>173</v>
      </c>
      <c r="B132" s="32" t="s">
        <v>586</v>
      </c>
      <c r="C132" s="32" t="s">
        <v>667</v>
      </c>
      <c r="D132" s="32">
        <v>1450</v>
      </c>
      <c r="E132" s="32">
        <v>1332</v>
      </c>
      <c r="F132" s="45">
        <v>-8.1000000000000003E-2</v>
      </c>
      <c r="G132" s="32" t="s">
        <v>668</v>
      </c>
      <c r="H132" s="32" t="b">
        <v>1</v>
      </c>
    </row>
    <row r="133" spans="1:8">
      <c r="A133" s="32" t="s">
        <v>174</v>
      </c>
      <c r="B133" s="32" t="s">
        <v>586</v>
      </c>
      <c r="C133" s="32" t="s">
        <v>667</v>
      </c>
      <c r="D133" s="32">
        <v>1552</v>
      </c>
      <c r="E133" s="32">
        <v>1550</v>
      </c>
      <c r="F133" s="45">
        <v>-1E-3</v>
      </c>
      <c r="G133" s="32" t="s">
        <v>670</v>
      </c>
      <c r="H133" s="32" t="b">
        <v>0</v>
      </c>
    </row>
    <row r="134" spans="1:8">
      <c r="A134" s="32" t="s">
        <v>175</v>
      </c>
      <c r="B134" s="32" t="s">
        <v>586</v>
      </c>
      <c r="C134" s="32" t="s">
        <v>667</v>
      </c>
      <c r="D134" s="32">
        <v>1408</v>
      </c>
      <c r="E134" s="32">
        <v>1408</v>
      </c>
      <c r="F134" s="45">
        <v>0</v>
      </c>
      <c r="G134" s="32" t="s">
        <v>669</v>
      </c>
      <c r="H134" s="32" t="b">
        <v>0</v>
      </c>
    </row>
    <row r="135" spans="1:8">
      <c r="A135" s="32" t="s">
        <v>176</v>
      </c>
      <c r="B135" s="32" t="s">
        <v>586</v>
      </c>
      <c r="C135" s="32" t="s">
        <v>667</v>
      </c>
      <c r="D135" s="32">
        <v>618</v>
      </c>
      <c r="E135" s="32">
        <v>427</v>
      </c>
      <c r="F135" s="45">
        <v>-0.309</v>
      </c>
      <c r="G135" s="32" t="s">
        <v>668</v>
      </c>
      <c r="H135" s="32" t="b">
        <v>1</v>
      </c>
    </row>
    <row r="136" spans="1:8">
      <c r="A136" s="32" t="s">
        <v>177</v>
      </c>
      <c r="B136" s="32" t="s">
        <v>586</v>
      </c>
      <c r="C136" s="32" t="s">
        <v>667</v>
      </c>
      <c r="D136" s="32">
        <v>382</v>
      </c>
      <c r="E136" s="32">
        <v>252</v>
      </c>
      <c r="F136" s="45">
        <v>-0.34</v>
      </c>
      <c r="G136" s="32" t="s">
        <v>668</v>
      </c>
      <c r="H136" s="32" t="b">
        <v>1</v>
      </c>
    </row>
    <row r="137" spans="1:8">
      <c r="A137" s="32" t="s">
        <v>178</v>
      </c>
      <c r="B137" s="32" t="s">
        <v>586</v>
      </c>
      <c r="C137" s="32" t="s">
        <v>667</v>
      </c>
      <c r="D137" s="32">
        <v>717</v>
      </c>
      <c r="E137" s="32">
        <v>678</v>
      </c>
      <c r="F137" s="45">
        <v>-5.3999999999999999E-2</v>
      </c>
      <c r="G137" s="32" t="s">
        <v>668</v>
      </c>
      <c r="H137" s="32" t="b">
        <v>1</v>
      </c>
    </row>
    <row r="138" spans="1:8">
      <c r="A138" s="32" t="s">
        <v>179</v>
      </c>
      <c r="B138" s="32" t="s">
        <v>586</v>
      </c>
      <c r="C138" s="32" t="s">
        <v>667</v>
      </c>
      <c r="D138" s="32">
        <v>369</v>
      </c>
      <c r="E138" s="32">
        <v>304</v>
      </c>
      <c r="F138" s="45">
        <v>-0.17599999999999999</v>
      </c>
      <c r="G138" s="32" t="s">
        <v>668</v>
      </c>
      <c r="H138" s="32" t="b">
        <v>1</v>
      </c>
    </row>
    <row r="139" spans="1:8">
      <c r="A139" s="32" t="s">
        <v>180</v>
      </c>
      <c r="B139" s="32" t="s">
        <v>586</v>
      </c>
      <c r="C139" s="32" t="s">
        <v>667</v>
      </c>
      <c r="D139" s="32">
        <v>576</v>
      </c>
      <c r="E139" s="32">
        <v>572</v>
      </c>
      <c r="F139" s="45">
        <v>-7.0000000000000001E-3</v>
      </c>
      <c r="G139" s="32" t="s">
        <v>670</v>
      </c>
      <c r="H139" s="32" t="b">
        <v>0</v>
      </c>
    </row>
    <row r="140" spans="1:8">
      <c r="A140" s="32" t="s">
        <v>181</v>
      </c>
      <c r="B140" s="32" t="s">
        <v>586</v>
      </c>
      <c r="C140" s="32" t="s">
        <v>667</v>
      </c>
      <c r="D140" s="32">
        <v>294</v>
      </c>
      <c r="E140" s="32">
        <v>255</v>
      </c>
      <c r="F140" s="45">
        <v>-0.13300000000000001</v>
      </c>
      <c r="G140" s="32" t="s">
        <v>668</v>
      </c>
      <c r="H140" s="32" t="b">
        <v>1</v>
      </c>
    </row>
    <row r="141" spans="1:8">
      <c r="A141" s="32" t="s">
        <v>182</v>
      </c>
      <c r="B141" s="32" t="s">
        <v>586</v>
      </c>
      <c r="C141" s="32" t="s">
        <v>667</v>
      </c>
      <c r="D141" s="32">
        <v>367</v>
      </c>
      <c r="E141" s="32">
        <v>358</v>
      </c>
      <c r="F141" s="45">
        <v>-2.5000000000000001E-2</v>
      </c>
      <c r="G141" s="32" t="s">
        <v>670</v>
      </c>
      <c r="H141" s="32" t="b">
        <v>1</v>
      </c>
    </row>
    <row r="142" spans="1:8">
      <c r="A142" s="32" t="s">
        <v>183</v>
      </c>
      <c r="B142" s="32" t="s">
        <v>586</v>
      </c>
      <c r="C142" s="32" t="s">
        <v>667</v>
      </c>
      <c r="D142" s="32">
        <v>1331</v>
      </c>
      <c r="E142" s="32">
        <v>1321</v>
      </c>
      <c r="F142" s="45">
        <v>-8.0000000000000002E-3</v>
      </c>
      <c r="G142" s="32" t="s">
        <v>670</v>
      </c>
      <c r="H142" s="32" t="b">
        <v>0</v>
      </c>
    </row>
    <row r="143" spans="1:8">
      <c r="A143" s="32" t="s">
        <v>184</v>
      </c>
      <c r="B143" s="32" t="s">
        <v>586</v>
      </c>
      <c r="C143" s="32" t="s">
        <v>667</v>
      </c>
      <c r="D143" s="32">
        <v>1176</v>
      </c>
      <c r="E143" s="32">
        <v>1178</v>
      </c>
      <c r="F143" s="45">
        <v>2E-3</v>
      </c>
      <c r="G143" s="32" t="s">
        <v>669</v>
      </c>
      <c r="H143" s="32" t="b">
        <v>0</v>
      </c>
    </row>
    <row r="144" spans="1:8">
      <c r="A144" s="32" t="s">
        <v>185</v>
      </c>
      <c r="B144" s="32" t="s">
        <v>586</v>
      </c>
      <c r="C144" s="32" t="s">
        <v>667</v>
      </c>
      <c r="D144" s="32">
        <v>1022</v>
      </c>
      <c r="E144" s="32">
        <v>959</v>
      </c>
      <c r="F144" s="45">
        <v>-6.2E-2</v>
      </c>
      <c r="G144" s="32" t="s">
        <v>668</v>
      </c>
      <c r="H144" s="32" t="b">
        <v>1</v>
      </c>
    </row>
    <row r="145" spans="1:8">
      <c r="A145" s="32" t="s">
        <v>186</v>
      </c>
      <c r="B145" s="32" t="s">
        <v>586</v>
      </c>
      <c r="C145" s="32" t="s">
        <v>667</v>
      </c>
      <c r="D145" s="32">
        <v>952</v>
      </c>
      <c r="E145" s="32">
        <v>778</v>
      </c>
      <c r="F145" s="45">
        <v>-0.183</v>
      </c>
      <c r="G145" s="32" t="s">
        <v>668</v>
      </c>
      <c r="H145" s="32" t="b">
        <v>1</v>
      </c>
    </row>
    <row r="146" spans="1:8">
      <c r="A146" s="32" t="s">
        <v>187</v>
      </c>
      <c r="B146" s="32" t="s">
        <v>586</v>
      </c>
      <c r="C146" s="32" t="s">
        <v>667</v>
      </c>
      <c r="D146" s="32">
        <v>383</v>
      </c>
      <c r="E146" s="32">
        <v>364</v>
      </c>
      <c r="F146" s="45">
        <v>-0.05</v>
      </c>
      <c r="G146" s="32" t="s">
        <v>670</v>
      </c>
      <c r="H146" s="32" t="b">
        <v>1</v>
      </c>
    </row>
    <row r="147" spans="1:8">
      <c r="A147" s="32" t="s">
        <v>188</v>
      </c>
      <c r="B147" s="32" t="s">
        <v>586</v>
      </c>
      <c r="C147" s="32" t="s">
        <v>667</v>
      </c>
      <c r="D147" s="32">
        <v>62</v>
      </c>
      <c r="E147" s="32">
        <v>67</v>
      </c>
      <c r="F147" s="45">
        <v>8.1000000000000003E-2</v>
      </c>
      <c r="G147" s="32" t="s">
        <v>669</v>
      </c>
      <c r="H147" s="32" t="b">
        <v>0</v>
      </c>
    </row>
    <row r="148" spans="1:8">
      <c r="A148" s="32" t="s">
        <v>189</v>
      </c>
      <c r="B148" s="32" t="s">
        <v>586</v>
      </c>
      <c r="C148" s="32" t="s">
        <v>667</v>
      </c>
      <c r="D148" s="32">
        <v>82</v>
      </c>
      <c r="E148" s="32">
        <v>72</v>
      </c>
      <c r="F148" s="45">
        <v>-0.122</v>
      </c>
      <c r="G148" s="32" t="s">
        <v>668</v>
      </c>
      <c r="H148" s="32" t="b">
        <v>1</v>
      </c>
    </row>
    <row r="149" spans="1:8">
      <c r="A149" s="32" t="s">
        <v>190</v>
      </c>
      <c r="B149" s="32" t="s">
        <v>586</v>
      </c>
      <c r="C149" s="32" t="s">
        <v>667</v>
      </c>
      <c r="D149" s="32">
        <v>504</v>
      </c>
      <c r="E149" s="32">
        <v>444</v>
      </c>
      <c r="F149" s="45">
        <v>-0.11899999999999999</v>
      </c>
      <c r="G149" s="32" t="s">
        <v>668</v>
      </c>
      <c r="H149" s="32" t="b">
        <v>1</v>
      </c>
    </row>
    <row r="150" spans="1:8">
      <c r="A150" s="32" t="s">
        <v>191</v>
      </c>
      <c r="B150" s="32" t="s">
        <v>586</v>
      </c>
      <c r="C150" s="32" t="s">
        <v>667</v>
      </c>
      <c r="D150" s="32">
        <v>629</v>
      </c>
      <c r="E150" s="32">
        <v>529</v>
      </c>
      <c r="F150" s="45">
        <v>-0.159</v>
      </c>
      <c r="G150" s="32" t="s">
        <v>668</v>
      </c>
      <c r="H150" s="32" t="b">
        <v>1</v>
      </c>
    </row>
    <row r="151" spans="1:8">
      <c r="A151" s="32" t="s">
        <v>192</v>
      </c>
      <c r="B151" s="32" t="s">
        <v>586</v>
      </c>
      <c r="C151" s="32" t="s">
        <v>667</v>
      </c>
      <c r="D151" s="32">
        <v>1521</v>
      </c>
      <c r="E151" s="32">
        <v>1523</v>
      </c>
      <c r="F151" s="45">
        <v>1E-3</v>
      </c>
      <c r="G151" s="32" t="s">
        <v>669</v>
      </c>
      <c r="H151" s="32" t="b">
        <v>0</v>
      </c>
    </row>
    <row r="152" spans="1:8">
      <c r="A152" s="32" t="s">
        <v>193</v>
      </c>
      <c r="B152" s="32" t="s">
        <v>586</v>
      </c>
      <c r="C152" s="32" t="s">
        <v>667</v>
      </c>
      <c r="D152" s="32">
        <v>801</v>
      </c>
      <c r="E152" s="32">
        <v>651</v>
      </c>
      <c r="F152" s="45">
        <v>-0.187</v>
      </c>
      <c r="G152" s="32" t="s">
        <v>668</v>
      </c>
      <c r="H152" s="32" t="b">
        <v>1</v>
      </c>
    </row>
    <row r="153" spans="1:8">
      <c r="A153" s="32" t="s">
        <v>194</v>
      </c>
      <c r="B153" s="32" t="s">
        <v>586</v>
      </c>
      <c r="C153" s="32" t="s">
        <v>667</v>
      </c>
      <c r="D153" s="32">
        <v>1342</v>
      </c>
      <c r="E153" s="32">
        <v>1364</v>
      </c>
      <c r="F153" s="45">
        <v>1.6E-2</v>
      </c>
      <c r="G153" s="32" t="s">
        <v>669</v>
      </c>
      <c r="H153" s="32" t="b">
        <v>0</v>
      </c>
    </row>
    <row r="154" spans="1:8">
      <c r="A154" s="32" t="s">
        <v>195</v>
      </c>
      <c r="B154" s="32" t="s">
        <v>586</v>
      </c>
      <c r="C154" s="32" t="s">
        <v>667</v>
      </c>
      <c r="D154" s="32">
        <v>219</v>
      </c>
      <c r="E154" s="32">
        <v>307</v>
      </c>
      <c r="F154" s="45">
        <v>0.40200000000000002</v>
      </c>
      <c r="G154" s="32" t="s">
        <v>669</v>
      </c>
      <c r="H154" s="32" t="b">
        <v>0</v>
      </c>
    </row>
    <row r="155" spans="1:8">
      <c r="A155" s="32" t="s">
        <v>196</v>
      </c>
      <c r="B155" s="32" t="s">
        <v>586</v>
      </c>
      <c r="C155" s="32" t="s">
        <v>667</v>
      </c>
      <c r="D155" s="32">
        <v>926</v>
      </c>
      <c r="E155" s="32">
        <v>834</v>
      </c>
      <c r="F155" s="45">
        <v>-9.9000000000000005E-2</v>
      </c>
      <c r="G155" s="32" t="s">
        <v>668</v>
      </c>
      <c r="H155" s="32" t="b">
        <v>1</v>
      </c>
    </row>
    <row r="156" spans="1:8">
      <c r="A156" s="32" t="s">
        <v>197</v>
      </c>
      <c r="B156" s="32" t="s">
        <v>586</v>
      </c>
      <c r="C156" s="32" t="s">
        <v>667</v>
      </c>
      <c r="D156" s="32">
        <v>261</v>
      </c>
      <c r="E156" s="32">
        <v>226</v>
      </c>
      <c r="F156" s="45">
        <v>-0.13400000000000001</v>
      </c>
      <c r="G156" s="32" t="s">
        <v>668</v>
      </c>
      <c r="H156" s="32" t="b">
        <v>1</v>
      </c>
    </row>
    <row r="157" spans="1:8">
      <c r="A157" s="32" t="s">
        <v>198</v>
      </c>
      <c r="B157" s="32" t="s">
        <v>586</v>
      </c>
      <c r="C157" s="32" t="s">
        <v>667</v>
      </c>
      <c r="D157" s="32">
        <v>401</v>
      </c>
      <c r="E157" s="32">
        <v>254</v>
      </c>
      <c r="F157" s="45">
        <v>-0.36699999999999999</v>
      </c>
      <c r="G157" s="32" t="s">
        <v>668</v>
      </c>
      <c r="H157" s="32" t="b">
        <v>1</v>
      </c>
    </row>
    <row r="158" spans="1:8">
      <c r="A158" s="32" t="s">
        <v>199</v>
      </c>
      <c r="B158" s="32" t="s">
        <v>586</v>
      </c>
      <c r="C158" s="32" t="s">
        <v>667</v>
      </c>
      <c r="D158" s="32">
        <v>544</v>
      </c>
      <c r="E158" s="32">
        <v>486</v>
      </c>
      <c r="F158" s="45">
        <v>-0.107</v>
      </c>
      <c r="G158" s="32" t="s">
        <v>668</v>
      </c>
      <c r="H158" s="32" t="b">
        <v>1</v>
      </c>
    </row>
    <row r="159" spans="1:8">
      <c r="A159" s="32" t="s">
        <v>200</v>
      </c>
      <c r="B159" s="32" t="s">
        <v>586</v>
      </c>
      <c r="C159" s="32" t="s">
        <v>667</v>
      </c>
      <c r="D159" s="32">
        <v>661</v>
      </c>
      <c r="E159" s="32">
        <v>543</v>
      </c>
      <c r="F159" s="45">
        <v>-0.17899999999999999</v>
      </c>
      <c r="G159" s="32" t="s">
        <v>668</v>
      </c>
      <c r="H159" s="32" t="b">
        <v>1</v>
      </c>
    </row>
    <row r="160" spans="1:8">
      <c r="A160" s="32" t="s">
        <v>201</v>
      </c>
      <c r="B160" s="32" t="s">
        <v>586</v>
      </c>
      <c r="C160" s="32" t="s">
        <v>667</v>
      </c>
      <c r="D160" s="32">
        <v>272</v>
      </c>
      <c r="E160" s="32">
        <v>201</v>
      </c>
      <c r="F160" s="45">
        <v>-0.26100000000000001</v>
      </c>
      <c r="G160" s="32" t="s">
        <v>668</v>
      </c>
      <c r="H160" s="32" t="b">
        <v>1</v>
      </c>
    </row>
    <row r="161" spans="1:8">
      <c r="A161" s="32" t="s">
        <v>202</v>
      </c>
      <c r="B161" s="32" t="s">
        <v>586</v>
      </c>
      <c r="C161" s="32" t="s">
        <v>667</v>
      </c>
      <c r="D161" s="32">
        <v>124</v>
      </c>
      <c r="E161" s="32">
        <v>135</v>
      </c>
      <c r="F161" s="45">
        <v>8.8999999999999996E-2</v>
      </c>
      <c r="G161" s="32" t="s">
        <v>669</v>
      </c>
      <c r="H161" s="32" t="b">
        <v>0</v>
      </c>
    </row>
    <row r="162" spans="1:8">
      <c r="A162" s="32" t="s">
        <v>203</v>
      </c>
      <c r="B162" s="32" t="s">
        <v>586</v>
      </c>
      <c r="C162" s="32" t="s">
        <v>667</v>
      </c>
      <c r="D162" s="32">
        <v>533</v>
      </c>
      <c r="E162" s="32">
        <v>569</v>
      </c>
      <c r="F162" s="45">
        <v>6.8000000000000005E-2</v>
      </c>
      <c r="G162" s="32" t="s">
        <v>669</v>
      </c>
      <c r="H162" s="32" t="b">
        <v>0</v>
      </c>
    </row>
    <row r="163" spans="1:8">
      <c r="A163" s="32" t="s">
        <v>204</v>
      </c>
      <c r="B163" s="32" t="s">
        <v>586</v>
      </c>
      <c r="C163" s="32" t="s">
        <v>667</v>
      </c>
      <c r="D163" s="32">
        <v>459</v>
      </c>
      <c r="E163" s="32">
        <v>405</v>
      </c>
      <c r="F163" s="45">
        <v>-0.11799999999999999</v>
      </c>
      <c r="G163" s="32" t="s">
        <v>668</v>
      </c>
      <c r="H163" s="32" t="b">
        <v>1</v>
      </c>
    </row>
    <row r="164" spans="1:8">
      <c r="A164" s="32" t="s">
        <v>205</v>
      </c>
      <c r="B164" s="32" t="s">
        <v>586</v>
      </c>
      <c r="C164" s="32" t="s">
        <v>667</v>
      </c>
      <c r="D164" s="32">
        <v>65</v>
      </c>
      <c r="E164" s="32">
        <v>59</v>
      </c>
      <c r="F164" s="45">
        <v>-9.1999999999999998E-2</v>
      </c>
      <c r="G164" s="32" t="s">
        <v>668</v>
      </c>
      <c r="H164" s="32" t="b">
        <v>1</v>
      </c>
    </row>
    <row r="165" spans="1:8">
      <c r="A165" s="32" t="s">
        <v>206</v>
      </c>
      <c r="B165" s="32" t="s">
        <v>586</v>
      </c>
      <c r="C165" s="32" t="s">
        <v>667</v>
      </c>
      <c r="D165" s="32">
        <v>121</v>
      </c>
      <c r="E165" s="32">
        <v>111</v>
      </c>
      <c r="F165" s="45">
        <v>-8.3000000000000004E-2</v>
      </c>
      <c r="G165" s="32" t="s">
        <v>668</v>
      </c>
      <c r="H165" s="32" t="b">
        <v>1</v>
      </c>
    </row>
    <row r="166" spans="1:8">
      <c r="A166" s="32" t="s">
        <v>207</v>
      </c>
      <c r="B166" s="32" t="s">
        <v>588</v>
      </c>
      <c r="C166" s="32" t="s">
        <v>667</v>
      </c>
      <c r="D166" s="32">
        <v>1074</v>
      </c>
      <c r="E166" s="32">
        <v>1045</v>
      </c>
      <c r="F166" s="45">
        <v>-2.7E-2</v>
      </c>
      <c r="G166" s="32" t="s">
        <v>670</v>
      </c>
      <c r="H166" s="32" t="b">
        <v>1</v>
      </c>
    </row>
    <row r="167" spans="1:8">
      <c r="A167" s="32" t="s">
        <v>208</v>
      </c>
      <c r="B167" s="32" t="s">
        <v>588</v>
      </c>
      <c r="C167" s="32" t="s">
        <v>667</v>
      </c>
      <c r="D167" s="32">
        <v>217</v>
      </c>
      <c r="E167" s="32">
        <v>195</v>
      </c>
      <c r="F167" s="45">
        <v>-0.10100000000000001</v>
      </c>
      <c r="G167" s="32" t="s">
        <v>668</v>
      </c>
      <c r="H167" s="32" t="b">
        <v>1</v>
      </c>
    </row>
    <row r="168" spans="1:8">
      <c r="A168" s="32" t="s">
        <v>209</v>
      </c>
      <c r="B168" s="32" t="s">
        <v>588</v>
      </c>
      <c r="C168" s="32" t="s">
        <v>667</v>
      </c>
      <c r="D168" s="32">
        <v>54</v>
      </c>
      <c r="E168" s="32">
        <v>15</v>
      </c>
      <c r="F168" s="45">
        <v>-0.72199999999999998</v>
      </c>
      <c r="G168" s="32" t="s">
        <v>668</v>
      </c>
      <c r="H168" s="32" t="b">
        <v>1</v>
      </c>
    </row>
    <row r="169" spans="1:8">
      <c r="A169" s="32" t="s">
        <v>210</v>
      </c>
      <c r="B169" s="32" t="s">
        <v>588</v>
      </c>
      <c r="C169" s="32" t="s">
        <v>667</v>
      </c>
      <c r="D169" s="32">
        <v>908</v>
      </c>
      <c r="E169" s="32">
        <v>868</v>
      </c>
      <c r="F169" s="45">
        <v>-4.3999999999999997E-2</v>
      </c>
      <c r="G169" s="32" t="s">
        <v>670</v>
      </c>
      <c r="H169" s="32" t="b">
        <v>1</v>
      </c>
    </row>
    <row r="170" spans="1:8">
      <c r="A170" s="32" t="s">
        <v>211</v>
      </c>
      <c r="B170" s="32" t="s">
        <v>588</v>
      </c>
      <c r="C170" s="32" t="s">
        <v>667</v>
      </c>
      <c r="D170" s="32">
        <v>501</v>
      </c>
      <c r="E170" s="32">
        <v>466</v>
      </c>
      <c r="F170" s="45">
        <v>-7.0000000000000007E-2</v>
      </c>
      <c r="G170" s="32" t="s">
        <v>668</v>
      </c>
      <c r="H170" s="32" t="b">
        <v>1</v>
      </c>
    </row>
    <row r="171" spans="1:8">
      <c r="A171" s="32" t="s">
        <v>212</v>
      </c>
      <c r="B171" s="32" t="s">
        <v>588</v>
      </c>
      <c r="C171" s="32" t="s">
        <v>667</v>
      </c>
      <c r="D171" s="32">
        <v>546</v>
      </c>
      <c r="E171" s="32">
        <v>522</v>
      </c>
      <c r="F171" s="45">
        <v>-4.3999999999999997E-2</v>
      </c>
      <c r="G171" s="32" t="s">
        <v>670</v>
      </c>
      <c r="H171" s="32" t="b">
        <v>1</v>
      </c>
    </row>
    <row r="172" spans="1:8">
      <c r="A172" s="32" t="s">
        <v>213</v>
      </c>
      <c r="B172" s="32" t="s">
        <v>588</v>
      </c>
      <c r="C172" s="32" t="s">
        <v>667</v>
      </c>
      <c r="D172" s="32">
        <v>1038</v>
      </c>
      <c r="E172" s="32">
        <v>1079</v>
      </c>
      <c r="F172" s="45">
        <v>3.9E-2</v>
      </c>
      <c r="G172" s="32" t="s">
        <v>669</v>
      </c>
      <c r="H172" s="32" t="b">
        <v>0</v>
      </c>
    </row>
    <row r="173" spans="1:8">
      <c r="A173" s="32" t="s">
        <v>214</v>
      </c>
      <c r="B173" s="32" t="s">
        <v>588</v>
      </c>
      <c r="C173" s="32" t="s">
        <v>667</v>
      </c>
      <c r="D173" s="32">
        <v>1501</v>
      </c>
      <c r="E173" s="32">
        <v>1505</v>
      </c>
      <c r="F173" s="45">
        <v>3.0000000000000001E-3</v>
      </c>
      <c r="G173" s="32" t="s">
        <v>669</v>
      </c>
      <c r="H173" s="32" t="b">
        <v>0</v>
      </c>
    </row>
    <row r="174" spans="1:8">
      <c r="A174" s="32" t="s">
        <v>215</v>
      </c>
      <c r="B174" s="32" t="s">
        <v>588</v>
      </c>
      <c r="C174" s="32" t="s">
        <v>667</v>
      </c>
      <c r="D174" s="32">
        <v>953</v>
      </c>
      <c r="E174" s="32">
        <v>967</v>
      </c>
      <c r="F174" s="45">
        <v>1.4999999999999999E-2</v>
      </c>
      <c r="G174" s="32" t="s">
        <v>669</v>
      </c>
      <c r="H174" s="32" t="b">
        <v>0</v>
      </c>
    </row>
    <row r="175" spans="1:8">
      <c r="A175" s="32" t="s">
        <v>216</v>
      </c>
      <c r="B175" s="32" t="s">
        <v>588</v>
      </c>
      <c r="C175" s="32" t="s">
        <v>667</v>
      </c>
      <c r="D175" s="32">
        <v>997</v>
      </c>
      <c r="E175" s="32">
        <v>1006</v>
      </c>
      <c r="F175" s="45">
        <v>8.9999999999999993E-3</v>
      </c>
      <c r="G175" s="32" t="s">
        <v>669</v>
      </c>
      <c r="H175" s="32" t="b">
        <v>0</v>
      </c>
    </row>
    <row r="176" spans="1:8">
      <c r="A176" s="32" t="s">
        <v>217</v>
      </c>
      <c r="B176" s="32" t="s">
        <v>588</v>
      </c>
      <c r="C176" s="32" t="s">
        <v>667</v>
      </c>
      <c r="D176" s="32">
        <v>591</v>
      </c>
      <c r="E176" s="32">
        <v>552</v>
      </c>
      <c r="F176" s="45">
        <v>-6.6000000000000003E-2</v>
      </c>
      <c r="G176" s="32" t="s">
        <v>668</v>
      </c>
      <c r="H176" s="32" t="b">
        <v>1</v>
      </c>
    </row>
    <row r="177" spans="1:8">
      <c r="A177" s="32" t="s">
        <v>218</v>
      </c>
      <c r="B177" s="32" t="s">
        <v>588</v>
      </c>
      <c r="C177" s="32" t="s">
        <v>667</v>
      </c>
      <c r="D177" s="32">
        <v>920</v>
      </c>
      <c r="E177" s="32">
        <v>916</v>
      </c>
      <c r="F177" s="45">
        <v>-4.0000000000000001E-3</v>
      </c>
      <c r="G177" s="32" t="s">
        <v>670</v>
      </c>
      <c r="H177" s="32" t="b">
        <v>0</v>
      </c>
    </row>
    <row r="178" spans="1:8">
      <c r="A178" s="32" t="s">
        <v>219</v>
      </c>
      <c r="B178" s="32" t="s">
        <v>588</v>
      </c>
      <c r="C178" s="32" t="s">
        <v>667</v>
      </c>
      <c r="D178" s="32">
        <v>1204</v>
      </c>
      <c r="E178" s="32">
        <v>1199</v>
      </c>
      <c r="F178" s="45">
        <v>-4.0000000000000001E-3</v>
      </c>
      <c r="G178" s="32" t="s">
        <v>670</v>
      </c>
      <c r="H178" s="32" t="b">
        <v>0</v>
      </c>
    </row>
    <row r="179" spans="1:8">
      <c r="A179" s="32" t="s">
        <v>220</v>
      </c>
      <c r="B179" s="32" t="s">
        <v>588</v>
      </c>
      <c r="C179" s="32" t="s">
        <v>667</v>
      </c>
      <c r="D179" s="32">
        <v>408</v>
      </c>
      <c r="E179" s="32">
        <v>400</v>
      </c>
      <c r="F179" s="45">
        <v>-0.02</v>
      </c>
      <c r="G179" s="32" t="s">
        <v>670</v>
      </c>
      <c r="H179" s="32" t="b">
        <v>1</v>
      </c>
    </row>
    <row r="180" spans="1:8">
      <c r="A180" s="32" t="s">
        <v>221</v>
      </c>
      <c r="B180" s="32" t="s">
        <v>588</v>
      </c>
      <c r="C180" s="32" t="s">
        <v>667</v>
      </c>
      <c r="D180" s="32">
        <v>882</v>
      </c>
      <c r="E180" s="32">
        <v>814</v>
      </c>
      <c r="F180" s="45">
        <v>-7.6999999999999999E-2</v>
      </c>
      <c r="G180" s="32" t="s">
        <v>668</v>
      </c>
      <c r="H180" s="32" t="b">
        <v>1</v>
      </c>
    </row>
    <row r="181" spans="1:8">
      <c r="A181" s="32" t="s">
        <v>222</v>
      </c>
      <c r="B181" s="32" t="s">
        <v>588</v>
      </c>
      <c r="C181" s="32" t="s">
        <v>667</v>
      </c>
      <c r="D181" s="32">
        <v>1546</v>
      </c>
      <c r="E181" s="32">
        <v>1620</v>
      </c>
      <c r="F181" s="45">
        <v>4.8000000000000001E-2</v>
      </c>
      <c r="G181" s="32" t="s">
        <v>669</v>
      </c>
      <c r="H181" s="32" t="b">
        <v>0</v>
      </c>
    </row>
    <row r="182" spans="1:8">
      <c r="A182" s="32" t="s">
        <v>223</v>
      </c>
      <c r="B182" s="32" t="s">
        <v>588</v>
      </c>
      <c r="C182" s="32" t="s">
        <v>667</v>
      </c>
      <c r="D182" s="32">
        <v>636</v>
      </c>
      <c r="E182" s="32">
        <v>521</v>
      </c>
      <c r="F182" s="45">
        <v>-0.18099999999999999</v>
      </c>
      <c r="G182" s="32" t="s">
        <v>668</v>
      </c>
      <c r="H182" s="32" t="b">
        <v>1</v>
      </c>
    </row>
    <row r="183" spans="1:8">
      <c r="A183" s="32" t="s">
        <v>224</v>
      </c>
      <c r="B183" s="32" t="s">
        <v>588</v>
      </c>
      <c r="C183" s="32" t="s">
        <v>667</v>
      </c>
      <c r="D183" s="32">
        <v>194</v>
      </c>
      <c r="E183" s="32">
        <v>170</v>
      </c>
      <c r="F183" s="45">
        <v>-0.124</v>
      </c>
      <c r="G183" s="32" t="s">
        <v>668</v>
      </c>
      <c r="H183" s="32" t="b">
        <v>1</v>
      </c>
    </row>
    <row r="184" spans="1:8">
      <c r="A184" s="32" t="s">
        <v>225</v>
      </c>
      <c r="B184" s="32" t="s">
        <v>588</v>
      </c>
      <c r="C184" s="32" t="s">
        <v>667</v>
      </c>
      <c r="D184" s="32">
        <v>829</v>
      </c>
      <c r="E184" s="32">
        <v>820</v>
      </c>
      <c r="F184" s="45">
        <v>-1.0999999999999999E-2</v>
      </c>
      <c r="G184" s="32" t="s">
        <v>670</v>
      </c>
      <c r="H184" s="32" t="b">
        <v>0</v>
      </c>
    </row>
    <row r="185" spans="1:8">
      <c r="A185" s="32" t="s">
        <v>226</v>
      </c>
      <c r="B185" s="32" t="s">
        <v>588</v>
      </c>
      <c r="C185" s="32" t="s">
        <v>667</v>
      </c>
      <c r="D185" s="32">
        <v>24</v>
      </c>
      <c r="E185" s="32">
        <v>9</v>
      </c>
      <c r="F185" s="45">
        <v>-0.625</v>
      </c>
      <c r="G185" s="32" t="s">
        <v>668</v>
      </c>
      <c r="H185" s="32" t="b">
        <v>1</v>
      </c>
    </row>
    <row r="186" spans="1:8">
      <c r="A186" s="32" t="s">
        <v>227</v>
      </c>
      <c r="B186" s="32" t="s">
        <v>588</v>
      </c>
      <c r="C186" s="32" t="s">
        <v>667</v>
      </c>
      <c r="D186" s="32">
        <v>641</v>
      </c>
      <c r="E186" s="32">
        <v>646</v>
      </c>
      <c r="F186" s="45">
        <v>8.0000000000000002E-3</v>
      </c>
      <c r="G186" s="32" t="s">
        <v>669</v>
      </c>
      <c r="H186" s="32" t="b">
        <v>0</v>
      </c>
    </row>
    <row r="187" spans="1:8">
      <c r="A187" s="32" t="s">
        <v>228</v>
      </c>
      <c r="B187" s="32" t="s">
        <v>588</v>
      </c>
      <c r="C187" s="32" t="s">
        <v>667</v>
      </c>
      <c r="D187" s="32">
        <v>395</v>
      </c>
      <c r="E187" s="32">
        <v>395</v>
      </c>
      <c r="F187" s="45">
        <v>0</v>
      </c>
      <c r="G187" s="32" t="s">
        <v>669</v>
      </c>
      <c r="H187" s="32" t="b">
        <v>0</v>
      </c>
    </row>
    <row r="188" spans="1:8">
      <c r="A188" s="32" t="s">
        <v>229</v>
      </c>
      <c r="B188" s="32" t="s">
        <v>588</v>
      </c>
      <c r="C188" s="32" t="s">
        <v>667</v>
      </c>
      <c r="D188" s="32">
        <v>1908</v>
      </c>
      <c r="E188" s="32">
        <v>1918</v>
      </c>
      <c r="F188" s="45">
        <v>5.0000000000000001E-3</v>
      </c>
      <c r="G188" s="32" t="s">
        <v>669</v>
      </c>
      <c r="H188" s="32" t="b">
        <v>0</v>
      </c>
    </row>
    <row r="189" spans="1:8">
      <c r="A189" s="32" t="s">
        <v>230</v>
      </c>
      <c r="B189" s="32" t="s">
        <v>588</v>
      </c>
      <c r="C189" s="32" t="s">
        <v>667</v>
      </c>
      <c r="D189" s="32">
        <v>1391</v>
      </c>
      <c r="E189" s="32">
        <v>1401</v>
      </c>
      <c r="F189" s="45">
        <v>7.0000000000000001E-3</v>
      </c>
      <c r="G189" s="32" t="s">
        <v>669</v>
      </c>
      <c r="H189" s="32" t="b">
        <v>0</v>
      </c>
    </row>
    <row r="190" spans="1:8">
      <c r="A190" s="32" t="s">
        <v>231</v>
      </c>
      <c r="B190" s="32" t="s">
        <v>588</v>
      </c>
      <c r="C190" s="32" t="s">
        <v>667</v>
      </c>
      <c r="D190" s="32">
        <v>671</v>
      </c>
      <c r="E190" s="32">
        <v>629</v>
      </c>
      <c r="F190" s="45">
        <v>-6.3E-2</v>
      </c>
      <c r="G190" s="32" t="s">
        <v>668</v>
      </c>
      <c r="H190" s="32" t="b">
        <v>1</v>
      </c>
    </row>
    <row r="191" spans="1:8">
      <c r="A191" s="32" t="s">
        <v>232</v>
      </c>
      <c r="B191" s="32" t="s">
        <v>588</v>
      </c>
      <c r="C191" s="32" t="s">
        <v>667</v>
      </c>
      <c r="D191" s="32">
        <v>1933</v>
      </c>
      <c r="E191" s="32">
        <v>1930</v>
      </c>
      <c r="F191" s="45">
        <v>-2E-3</v>
      </c>
      <c r="G191" s="32" t="s">
        <v>670</v>
      </c>
      <c r="H191" s="32" t="b">
        <v>0</v>
      </c>
    </row>
    <row r="192" spans="1:8">
      <c r="A192" s="32" t="s">
        <v>233</v>
      </c>
      <c r="B192" s="32" t="s">
        <v>588</v>
      </c>
      <c r="C192" s="32" t="s">
        <v>667</v>
      </c>
      <c r="D192" s="32">
        <v>11</v>
      </c>
      <c r="E192" s="32">
        <v>19</v>
      </c>
      <c r="F192" s="45">
        <v>0.72699999999999998</v>
      </c>
      <c r="G192" s="32" t="s">
        <v>669</v>
      </c>
      <c r="H192" s="32" t="b">
        <v>0</v>
      </c>
    </row>
    <row r="193" spans="1:8">
      <c r="A193" s="32" t="s">
        <v>234</v>
      </c>
      <c r="B193" s="32" t="s">
        <v>588</v>
      </c>
      <c r="C193" s="32" t="s">
        <v>667</v>
      </c>
      <c r="D193" s="32">
        <v>232</v>
      </c>
      <c r="E193" s="32">
        <v>111</v>
      </c>
      <c r="F193" s="45">
        <v>-0.52200000000000002</v>
      </c>
      <c r="G193" s="32" t="s">
        <v>668</v>
      </c>
      <c r="H193" s="32" t="b">
        <v>1</v>
      </c>
    </row>
    <row r="194" spans="1:8">
      <c r="A194" s="32" t="s">
        <v>235</v>
      </c>
      <c r="B194" s="32" t="s">
        <v>588</v>
      </c>
      <c r="C194" s="32" t="s">
        <v>667</v>
      </c>
      <c r="D194" s="32">
        <v>371</v>
      </c>
      <c r="E194" s="32">
        <v>326</v>
      </c>
      <c r="F194" s="45">
        <v>-0.121</v>
      </c>
      <c r="G194" s="32" t="s">
        <v>668</v>
      </c>
      <c r="H194" s="32" t="b">
        <v>1</v>
      </c>
    </row>
    <row r="195" spans="1:8">
      <c r="A195" s="32" t="s">
        <v>236</v>
      </c>
      <c r="B195" s="32" t="s">
        <v>588</v>
      </c>
      <c r="C195" s="32" t="s">
        <v>667</v>
      </c>
      <c r="D195" s="32">
        <v>289</v>
      </c>
      <c r="E195" s="32">
        <v>297</v>
      </c>
      <c r="F195" s="45">
        <v>2.8000000000000001E-2</v>
      </c>
      <c r="G195" s="32" t="s">
        <v>669</v>
      </c>
      <c r="H195" s="32" t="b">
        <v>0</v>
      </c>
    </row>
    <row r="196" spans="1:8">
      <c r="A196" s="32" t="s">
        <v>237</v>
      </c>
      <c r="B196" s="32" t="s">
        <v>588</v>
      </c>
      <c r="C196" s="32" t="s">
        <v>667</v>
      </c>
      <c r="D196" s="32">
        <v>186</v>
      </c>
      <c r="E196" s="32">
        <v>190</v>
      </c>
      <c r="F196" s="45">
        <v>2.1999999999999999E-2</v>
      </c>
      <c r="G196" s="32" t="s">
        <v>669</v>
      </c>
      <c r="H196" s="32" t="b">
        <v>0</v>
      </c>
    </row>
    <row r="197" spans="1:8">
      <c r="A197" s="32" t="s">
        <v>238</v>
      </c>
      <c r="B197" s="32" t="s">
        <v>588</v>
      </c>
      <c r="C197" s="32" t="s">
        <v>667</v>
      </c>
      <c r="D197" s="32">
        <v>735</v>
      </c>
      <c r="E197" s="32">
        <v>750</v>
      </c>
      <c r="F197" s="45">
        <v>0.02</v>
      </c>
      <c r="G197" s="32" t="s">
        <v>669</v>
      </c>
      <c r="H197" s="32" t="b">
        <v>0</v>
      </c>
    </row>
    <row r="198" spans="1:8">
      <c r="A198" s="32" t="s">
        <v>239</v>
      </c>
      <c r="B198" s="32" t="s">
        <v>588</v>
      </c>
      <c r="C198" s="32" t="s">
        <v>667</v>
      </c>
      <c r="D198" s="32">
        <v>532</v>
      </c>
      <c r="E198" s="32">
        <v>531</v>
      </c>
      <c r="F198" s="45">
        <v>-2E-3</v>
      </c>
      <c r="G198" s="32" t="s">
        <v>670</v>
      </c>
      <c r="H198" s="32" t="b">
        <v>0</v>
      </c>
    </row>
    <row r="199" spans="1:8">
      <c r="A199" s="32" t="s">
        <v>240</v>
      </c>
      <c r="B199" s="32" t="s">
        <v>588</v>
      </c>
      <c r="C199" s="32" t="s">
        <v>667</v>
      </c>
      <c r="D199" s="32">
        <v>567</v>
      </c>
      <c r="E199" s="32">
        <v>567</v>
      </c>
      <c r="F199" s="45">
        <v>0</v>
      </c>
      <c r="G199" s="32" t="s">
        <v>669</v>
      </c>
      <c r="H199" s="32" t="b">
        <v>0</v>
      </c>
    </row>
    <row r="200" spans="1:8">
      <c r="A200" s="32" t="s">
        <v>241</v>
      </c>
      <c r="B200" s="32" t="s">
        <v>588</v>
      </c>
      <c r="C200" s="32" t="s">
        <v>667</v>
      </c>
      <c r="D200" s="32">
        <v>550</v>
      </c>
      <c r="E200" s="32">
        <v>501</v>
      </c>
      <c r="F200" s="45">
        <v>-8.8999999999999996E-2</v>
      </c>
      <c r="G200" s="32" t="s">
        <v>668</v>
      </c>
      <c r="H200" s="32" t="b">
        <v>1</v>
      </c>
    </row>
    <row r="201" spans="1:8">
      <c r="A201" s="32" t="s">
        <v>242</v>
      </c>
      <c r="B201" s="32" t="s">
        <v>588</v>
      </c>
      <c r="C201" s="32" t="s">
        <v>667</v>
      </c>
      <c r="D201" s="32">
        <v>93</v>
      </c>
      <c r="E201" s="32">
        <v>77</v>
      </c>
      <c r="F201" s="45">
        <v>-0.17199999999999999</v>
      </c>
      <c r="G201" s="32" t="s">
        <v>668</v>
      </c>
      <c r="H201" s="32" t="b">
        <v>1</v>
      </c>
    </row>
    <row r="202" spans="1:8">
      <c r="A202" s="32" t="s">
        <v>243</v>
      </c>
      <c r="B202" s="32" t="s">
        <v>588</v>
      </c>
      <c r="C202" s="32" t="s">
        <v>667</v>
      </c>
      <c r="D202" s="32">
        <v>700</v>
      </c>
      <c r="E202" s="32">
        <v>686</v>
      </c>
      <c r="F202" s="45">
        <v>-0.02</v>
      </c>
      <c r="G202" s="32" t="s">
        <v>670</v>
      </c>
      <c r="H202" s="32" t="b">
        <v>1</v>
      </c>
    </row>
    <row r="203" spans="1:8">
      <c r="A203" s="32" t="s">
        <v>244</v>
      </c>
      <c r="B203" s="32" t="s">
        <v>588</v>
      </c>
      <c r="C203" s="32" t="s">
        <v>667</v>
      </c>
      <c r="D203" s="32">
        <v>1528</v>
      </c>
      <c r="E203" s="32">
        <v>1568</v>
      </c>
      <c r="F203" s="45">
        <v>2.5999999999999999E-2</v>
      </c>
      <c r="G203" s="32" t="s">
        <v>669</v>
      </c>
      <c r="H203" s="32" t="b">
        <v>0</v>
      </c>
    </row>
    <row r="204" spans="1:8">
      <c r="A204" s="32" t="s">
        <v>245</v>
      </c>
      <c r="B204" s="32" t="s">
        <v>588</v>
      </c>
      <c r="C204" s="32" t="s">
        <v>667</v>
      </c>
      <c r="D204" s="32">
        <v>1731</v>
      </c>
      <c r="E204" s="32">
        <v>1431</v>
      </c>
      <c r="F204" s="45">
        <v>-0.17299999999999999</v>
      </c>
      <c r="G204" s="32" t="s">
        <v>668</v>
      </c>
      <c r="H204" s="32" t="b">
        <v>1</v>
      </c>
    </row>
    <row r="205" spans="1:8">
      <c r="A205" s="32" t="s">
        <v>246</v>
      </c>
      <c r="B205" s="32" t="s">
        <v>588</v>
      </c>
      <c r="C205" s="32" t="s">
        <v>667</v>
      </c>
      <c r="D205" s="32">
        <v>1365</v>
      </c>
      <c r="E205" s="32">
        <v>1306</v>
      </c>
      <c r="F205" s="45">
        <v>-4.2999999999999997E-2</v>
      </c>
      <c r="G205" s="32" t="s">
        <v>670</v>
      </c>
      <c r="H205" s="32" t="b">
        <v>1</v>
      </c>
    </row>
    <row r="206" spans="1:8">
      <c r="A206" s="32" t="s">
        <v>247</v>
      </c>
      <c r="B206" s="32" t="s">
        <v>588</v>
      </c>
      <c r="C206" s="32" t="s">
        <v>667</v>
      </c>
      <c r="D206" s="32">
        <v>777</v>
      </c>
      <c r="E206" s="32">
        <v>665</v>
      </c>
      <c r="F206" s="45">
        <v>-0.14399999999999999</v>
      </c>
      <c r="G206" s="32" t="s">
        <v>668</v>
      </c>
      <c r="H206" s="32" t="b">
        <v>1</v>
      </c>
    </row>
    <row r="207" spans="1:8">
      <c r="A207" s="32" t="s">
        <v>248</v>
      </c>
      <c r="B207" s="32" t="s">
        <v>588</v>
      </c>
      <c r="C207" s="32" t="s">
        <v>667</v>
      </c>
      <c r="D207" s="32">
        <v>20</v>
      </c>
      <c r="E207" s="32">
        <v>3</v>
      </c>
      <c r="F207" s="45">
        <v>-0.85</v>
      </c>
      <c r="G207" s="32" t="s">
        <v>668</v>
      </c>
      <c r="H207" s="32" t="b">
        <v>1</v>
      </c>
    </row>
    <row r="208" spans="1:8">
      <c r="A208" s="32" t="s">
        <v>249</v>
      </c>
      <c r="B208" s="32" t="s">
        <v>588</v>
      </c>
      <c r="C208" s="32" t="s">
        <v>667</v>
      </c>
      <c r="D208" s="32">
        <v>1852</v>
      </c>
      <c r="E208" s="32">
        <v>1709</v>
      </c>
      <c r="F208" s="45">
        <v>-7.6999999999999999E-2</v>
      </c>
      <c r="G208" s="32" t="s">
        <v>668</v>
      </c>
      <c r="H208" s="32" t="b">
        <v>1</v>
      </c>
    </row>
    <row r="209" spans="1:8">
      <c r="A209" s="32" t="s">
        <v>250</v>
      </c>
      <c r="B209" s="32" t="s">
        <v>588</v>
      </c>
      <c r="C209" s="32" t="s">
        <v>667</v>
      </c>
      <c r="D209" s="32">
        <v>219</v>
      </c>
      <c r="E209" s="32">
        <v>109</v>
      </c>
      <c r="F209" s="45">
        <v>-0.502</v>
      </c>
      <c r="G209" s="32" t="s">
        <v>668</v>
      </c>
      <c r="H209" s="32" t="b">
        <v>1</v>
      </c>
    </row>
    <row r="210" spans="1:8">
      <c r="A210" s="32" t="s">
        <v>251</v>
      </c>
      <c r="B210" s="32" t="s">
        <v>588</v>
      </c>
      <c r="C210" s="32" t="s">
        <v>667</v>
      </c>
      <c r="D210" s="32">
        <v>549</v>
      </c>
      <c r="E210" s="32">
        <v>484</v>
      </c>
      <c r="F210" s="45">
        <v>-0.11799999999999999</v>
      </c>
      <c r="G210" s="32" t="s">
        <v>668</v>
      </c>
      <c r="H210" s="32" t="b">
        <v>1</v>
      </c>
    </row>
    <row r="211" spans="1:8">
      <c r="A211" s="32" t="s">
        <v>145</v>
      </c>
      <c r="B211" s="32" t="s">
        <v>588</v>
      </c>
      <c r="C211" s="32" t="s">
        <v>667</v>
      </c>
      <c r="D211" s="32">
        <v>621</v>
      </c>
      <c r="E211" s="32">
        <v>540</v>
      </c>
      <c r="F211" s="45">
        <v>-0.13</v>
      </c>
      <c r="G211" s="32" t="s">
        <v>668</v>
      </c>
      <c r="H211" s="32" t="b">
        <v>1</v>
      </c>
    </row>
    <row r="212" spans="1:8">
      <c r="A212" s="32" t="s">
        <v>252</v>
      </c>
      <c r="B212" s="32" t="s">
        <v>588</v>
      </c>
      <c r="C212" s="32" t="s">
        <v>667</v>
      </c>
      <c r="D212" s="32">
        <v>260</v>
      </c>
      <c r="E212" s="32">
        <v>250</v>
      </c>
      <c r="F212" s="45">
        <v>-3.7999999999999999E-2</v>
      </c>
      <c r="G212" s="32" t="s">
        <v>670</v>
      </c>
      <c r="H212" s="32" t="b">
        <v>1</v>
      </c>
    </row>
    <row r="213" spans="1:8">
      <c r="A213" s="32" t="s">
        <v>253</v>
      </c>
      <c r="B213" s="32" t="s">
        <v>588</v>
      </c>
      <c r="C213" s="32" t="s">
        <v>667</v>
      </c>
      <c r="D213" s="32">
        <v>618</v>
      </c>
      <c r="E213" s="32">
        <v>602</v>
      </c>
      <c r="F213" s="45">
        <v>-2.5999999999999999E-2</v>
      </c>
      <c r="G213" s="32" t="s">
        <v>670</v>
      </c>
      <c r="H213" s="32" t="b">
        <v>1</v>
      </c>
    </row>
    <row r="214" spans="1:8">
      <c r="A214" s="32" t="s">
        <v>254</v>
      </c>
      <c r="B214" s="32" t="s">
        <v>588</v>
      </c>
      <c r="C214" s="32" t="s">
        <v>667</v>
      </c>
      <c r="D214" s="32">
        <v>178</v>
      </c>
      <c r="E214" s="32">
        <v>136</v>
      </c>
      <c r="F214" s="45">
        <v>-0.23599999999999999</v>
      </c>
      <c r="G214" s="32" t="s">
        <v>668</v>
      </c>
      <c r="H214" s="32" t="b">
        <v>1</v>
      </c>
    </row>
    <row r="215" spans="1:8">
      <c r="A215" s="32" t="s">
        <v>255</v>
      </c>
      <c r="B215" s="32" t="s">
        <v>590</v>
      </c>
      <c r="C215" s="32" t="s">
        <v>667</v>
      </c>
      <c r="D215" s="32">
        <v>187</v>
      </c>
      <c r="E215" s="32">
        <v>212</v>
      </c>
      <c r="F215" s="45">
        <v>0.13400000000000001</v>
      </c>
      <c r="G215" s="32" t="s">
        <v>669</v>
      </c>
      <c r="H215" s="32" t="b">
        <v>0</v>
      </c>
    </row>
    <row r="216" spans="1:8">
      <c r="A216" s="32" t="s">
        <v>256</v>
      </c>
      <c r="B216" s="32" t="s">
        <v>590</v>
      </c>
      <c r="C216" s="32" t="s">
        <v>667</v>
      </c>
      <c r="D216" s="32">
        <v>846</v>
      </c>
      <c r="E216" s="32">
        <v>806</v>
      </c>
      <c r="F216" s="45">
        <v>-4.7E-2</v>
      </c>
      <c r="G216" s="32" t="s">
        <v>670</v>
      </c>
      <c r="H216" s="32" t="b">
        <v>1</v>
      </c>
    </row>
    <row r="217" spans="1:8">
      <c r="A217" s="32" t="s">
        <v>257</v>
      </c>
      <c r="B217" s="32" t="s">
        <v>590</v>
      </c>
      <c r="C217" s="32" t="s">
        <v>667</v>
      </c>
      <c r="D217" s="32">
        <v>894</v>
      </c>
      <c r="E217" s="32">
        <v>834</v>
      </c>
      <c r="F217" s="45">
        <v>-6.7000000000000004E-2</v>
      </c>
      <c r="G217" s="32" t="s">
        <v>668</v>
      </c>
      <c r="H217" s="32" t="b">
        <v>1</v>
      </c>
    </row>
    <row r="218" spans="1:8">
      <c r="A218" s="32" t="s">
        <v>258</v>
      </c>
      <c r="B218" s="32" t="s">
        <v>590</v>
      </c>
      <c r="C218" s="32" t="s">
        <v>667</v>
      </c>
      <c r="D218" s="32">
        <v>131</v>
      </c>
      <c r="E218" s="32">
        <v>135</v>
      </c>
      <c r="F218" s="45">
        <v>3.1E-2</v>
      </c>
      <c r="G218" s="32" t="s">
        <v>669</v>
      </c>
      <c r="H218" s="32" t="b">
        <v>0</v>
      </c>
    </row>
    <row r="219" spans="1:8">
      <c r="A219" s="32" t="s">
        <v>259</v>
      </c>
      <c r="B219" s="32" t="s">
        <v>590</v>
      </c>
      <c r="C219" s="32" t="s">
        <v>667</v>
      </c>
      <c r="D219" s="32">
        <v>79</v>
      </c>
      <c r="E219" s="32">
        <v>24</v>
      </c>
      <c r="F219" s="45">
        <v>-0.69599999999999995</v>
      </c>
      <c r="G219" s="32" t="s">
        <v>668</v>
      </c>
      <c r="H219" s="32" t="b">
        <v>1</v>
      </c>
    </row>
    <row r="220" spans="1:8">
      <c r="A220" s="32" t="s">
        <v>260</v>
      </c>
      <c r="B220" s="32" t="s">
        <v>590</v>
      </c>
      <c r="C220" s="32" t="s">
        <v>667</v>
      </c>
      <c r="D220" s="32">
        <v>35</v>
      </c>
      <c r="E220" s="32">
        <v>38</v>
      </c>
      <c r="F220" s="45">
        <v>8.5999999999999993E-2</v>
      </c>
      <c r="G220" s="32" t="s">
        <v>669</v>
      </c>
      <c r="H220" s="32" t="b">
        <v>0</v>
      </c>
    </row>
    <row r="221" spans="1:8">
      <c r="A221" s="32" t="s">
        <v>261</v>
      </c>
      <c r="B221" s="32" t="s">
        <v>590</v>
      </c>
      <c r="C221" s="32" t="s">
        <v>667</v>
      </c>
      <c r="D221" s="32">
        <v>1035</v>
      </c>
      <c r="E221" s="32">
        <v>1010</v>
      </c>
      <c r="F221" s="45">
        <v>-2.4E-2</v>
      </c>
      <c r="G221" s="32" t="s">
        <v>670</v>
      </c>
      <c r="H221" s="32" t="b">
        <v>1</v>
      </c>
    </row>
    <row r="222" spans="1:8">
      <c r="A222" s="32" t="s">
        <v>262</v>
      </c>
      <c r="B222" s="32" t="s">
        <v>590</v>
      </c>
      <c r="C222" s="32" t="s">
        <v>667</v>
      </c>
      <c r="D222" s="32">
        <v>1071</v>
      </c>
      <c r="E222" s="32">
        <v>1049</v>
      </c>
      <c r="F222" s="45">
        <v>-2.1000000000000001E-2</v>
      </c>
      <c r="G222" s="32" t="s">
        <v>670</v>
      </c>
      <c r="H222" s="32" t="b">
        <v>1</v>
      </c>
    </row>
    <row r="223" spans="1:8">
      <c r="A223" s="32" t="s">
        <v>263</v>
      </c>
      <c r="B223" s="32" t="s">
        <v>590</v>
      </c>
      <c r="C223" s="32" t="s">
        <v>667</v>
      </c>
      <c r="D223" s="32">
        <v>448</v>
      </c>
      <c r="E223" s="32">
        <v>379</v>
      </c>
      <c r="F223" s="45">
        <v>-0.154</v>
      </c>
      <c r="G223" s="32" t="s">
        <v>668</v>
      </c>
      <c r="H223" s="32" t="b">
        <v>1</v>
      </c>
    </row>
    <row r="224" spans="1:8">
      <c r="A224" s="32" t="s">
        <v>264</v>
      </c>
      <c r="B224" s="32" t="s">
        <v>590</v>
      </c>
      <c r="C224" s="32" t="s">
        <v>667</v>
      </c>
      <c r="D224" s="32">
        <v>576</v>
      </c>
      <c r="E224" s="32">
        <v>729</v>
      </c>
      <c r="F224" s="45">
        <v>0.26600000000000001</v>
      </c>
      <c r="G224" s="32" t="s">
        <v>669</v>
      </c>
      <c r="H224" s="32" t="b">
        <v>0</v>
      </c>
    </row>
    <row r="225" spans="1:8">
      <c r="A225" s="32" t="s">
        <v>265</v>
      </c>
      <c r="B225" s="32" t="s">
        <v>590</v>
      </c>
      <c r="C225" s="32" t="s">
        <v>667</v>
      </c>
      <c r="D225" s="32">
        <v>886</v>
      </c>
      <c r="E225" s="32">
        <v>897</v>
      </c>
      <c r="F225" s="45">
        <v>1.2E-2</v>
      </c>
      <c r="G225" s="32" t="s">
        <v>669</v>
      </c>
      <c r="H225" s="32" t="b">
        <v>0</v>
      </c>
    </row>
    <row r="226" spans="1:8">
      <c r="A226" s="32" t="s">
        <v>266</v>
      </c>
      <c r="B226" s="32" t="s">
        <v>590</v>
      </c>
      <c r="C226" s="32" t="s">
        <v>667</v>
      </c>
      <c r="D226" s="32">
        <v>572</v>
      </c>
      <c r="E226" s="32">
        <v>601</v>
      </c>
      <c r="F226" s="45">
        <v>5.0999999999999997E-2</v>
      </c>
      <c r="G226" s="32" t="s">
        <v>669</v>
      </c>
      <c r="H226" s="32" t="b">
        <v>0</v>
      </c>
    </row>
    <row r="227" spans="1:8">
      <c r="A227" s="32" t="s">
        <v>267</v>
      </c>
      <c r="B227" s="32" t="s">
        <v>590</v>
      </c>
      <c r="C227" s="32" t="s">
        <v>667</v>
      </c>
      <c r="D227" s="32">
        <v>147</v>
      </c>
      <c r="E227" s="32">
        <v>116</v>
      </c>
      <c r="F227" s="45">
        <v>-0.21099999999999999</v>
      </c>
      <c r="G227" s="32" t="s">
        <v>668</v>
      </c>
      <c r="H227" s="32" t="b">
        <v>1</v>
      </c>
    </row>
    <row r="228" spans="1:8">
      <c r="A228" s="32" t="s">
        <v>268</v>
      </c>
      <c r="B228" s="32" t="s">
        <v>590</v>
      </c>
      <c r="C228" s="32" t="s">
        <v>667</v>
      </c>
      <c r="D228" s="32">
        <v>9</v>
      </c>
      <c r="E228" s="32">
        <v>16</v>
      </c>
      <c r="F228" s="45">
        <v>0.77800000000000002</v>
      </c>
      <c r="G228" s="32" t="s">
        <v>669</v>
      </c>
      <c r="H228" s="32" t="b">
        <v>0</v>
      </c>
    </row>
    <row r="229" spans="1:8">
      <c r="A229" s="32" t="s">
        <v>269</v>
      </c>
      <c r="B229" s="32" t="s">
        <v>592</v>
      </c>
      <c r="C229" s="32" t="s">
        <v>667</v>
      </c>
      <c r="D229" s="32">
        <v>1119</v>
      </c>
      <c r="E229" s="32">
        <v>1002</v>
      </c>
      <c r="F229" s="45">
        <v>-0.105</v>
      </c>
      <c r="G229" s="32" t="s">
        <v>668</v>
      </c>
      <c r="H229" s="32" t="b">
        <v>1</v>
      </c>
    </row>
    <row r="230" spans="1:8">
      <c r="A230" s="32" t="s">
        <v>270</v>
      </c>
      <c r="B230" s="32" t="s">
        <v>584</v>
      </c>
      <c r="C230" s="32" t="s">
        <v>667</v>
      </c>
      <c r="D230" s="32">
        <v>807</v>
      </c>
      <c r="E230" s="32">
        <v>738</v>
      </c>
      <c r="F230" s="45">
        <v>-8.5999999999999993E-2</v>
      </c>
      <c r="G230" s="32" t="s">
        <v>668</v>
      </c>
      <c r="H230" s="32" t="b">
        <v>1</v>
      </c>
    </row>
    <row r="231" spans="1:8">
      <c r="A231" s="32" t="s">
        <v>271</v>
      </c>
      <c r="B231" s="32" t="s">
        <v>584</v>
      </c>
      <c r="C231" s="32" t="s">
        <v>667</v>
      </c>
      <c r="D231" s="32">
        <v>615</v>
      </c>
      <c r="E231" s="32">
        <v>681</v>
      </c>
      <c r="F231" s="45">
        <v>0.107</v>
      </c>
      <c r="G231" s="32" t="s">
        <v>669</v>
      </c>
      <c r="H231" s="32" t="b">
        <v>0</v>
      </c>
    </row>
    <row r="232" spans="1:8">
      <c r="A232" s="32" t="s">
        <v>272</v>
      </c>
      <c r="B232" s="32" t="s">
        <v>584</v>
      </c>
      <c r="C232" s="32" t="s">
        <v>667</v>
      </c>
      <c r="D232" s="32">
        <v>1737</v>
      </c>
      <c r="E232" s="32">
        <v>1569</v>
      </c>
      <c r="F232" s="45">
        <v>-9.7000000000000003E-2</v>
      </c>
      <c r="G232" s="32" t="s">
        <v>668</v>
      </c>
      <c r="H232" s="32" t="b">
        <v>1</v>
      </c>
    </row>
    <row r="233" spans="1:8">
      <c r="A233" s="32" t="s">
        <v>273</v>
      </c>
      <c r="B233" s="32" t="s">
        <v>584</v>
      </c>
      <c r="C233" s="32" t="s">
        <v>667</v>
      </c>
      <c r="D233" s="32">
        <v>151</v>
      </c>
      <c r="E233" s="32">
        <v>51</v>
      </c>
      <c r="F233" s="45">
        <v>-0.66200000000000003</v>
      </c>
      <c r="G233" s="32" t="s">
        <v>668</v>
      </c>
      <c r="H233" s="32" t="b">
        <v>1</v>
      </c>
    </row>
    <row r="234" spans="1:8">
      <c r="A234" s="32" t="s">
        <v>274</v>
      </c>
      <c r="B234" s="32" t="s">
        <v>584</v>
      </c>
      <c r="C234" s="32" t="s">
        <v>667</v>
      </c>
      <c r="D234" s="32">
        <v>267</v>
      </c>
      <c r="E234" s="32">
        <v>222</v>
      </c>
      <c r="F234" s="45">
        <v>-0.16900000000000001</v>
      </c>
      <c r="G234" s="32" t="s">
        <v>668</v>
      </c>
      <c r="H234" s="32" t="b">
        <v>1</v>
      </c>
    </row>
    <row r="235" spans="1:8">
      <c r="A235" s="32" t="s">
        <v>275</v>
      </c>
      <c r="B235" s="32" t="s">
        <v>584</v>
      </c>
      <c r="C235" s="32" t="s">
        <v>667</v>
      </c>
      <c r="D235" s="32">
        <v>395</v>
      </c>
      <c r="E235" s="32">
        <v>412</v>
      </c>
      <c r="F235" s="45">
        <v>4.2999999999999997E-2</v>
      </c>
      <c r="G235" s="32" t="s">
        <v>669</v>
      </c>
      <c r="H235" s="32" t="b">
        <v>0</v>
      </c>
    </row>
    <row r="236" spans="1:8">
      <c r="A236" s="32" t="s">
        <v>276</v>
      </c>
      <c r="B236" s="32" t="s">
        <v>584</v>
      </c>
      <c r="C236" s="32" t="s">
        <v>667</v>
      </c>
      <c r="D236" s="32">
        <v>284</v>
      </c>
      <c r="E236" s="32">
        <v>293</v>
      </c>
      <c r="F236" s="45">
        <v>3.2000000000000001E-2</v>
      </c>
      <c r="G236" s="32" t="s">
        <v>669</v>
      </c>
      <c r="H236" s="32" t="b">
        <v>0</v>
      </c>
    </row>
    <row r="237" spans="1:8">
      <c r="A237" s="32" t="s">
        <v>277</v>
      </c>
      <c r="B237" s="32" t="s">
        <v>584</v>
      </c>
      <c r="C237" s="32" t="s">
        <v>667</v>
      </c>
      <c r="D237" s="32">
        <v>176</v>
      </c>
      <c r="E237" s="32">
        <v>171</v>
      </c>
      <c r="F237" s="45">
        <v>-2.8000000000000001E-2</v>
      </c>
      <c r="G237" s="32" t="s">
        <v>670</v>
      </c>
      <c r="H237" s="32" t="b">
        <v>1</v>
      </c>
    </row>
    <row r="238" spans="1:8">
      <c r="A238" s="32" t="s">
        <v>278</v>
      </c>
      <c r="B238" s="32" t="s">
        <v>584</v>
      </c>
      <c r="C238" s="32" t="s">
        <v>667</v>
      </c>
      <c r="D238" s="32">
        <v>678</v>
      </c>
      <c r="E238" s="32">
        <v>731</v>
      </c>
      <c r="F238" s="45">
        <v>7.8E-2</v>
      </c>
      <c r="G238" s="32" t="s">
        <v>669</v>
      </c>
      <c r="H238" s="32" t="b">
        <v>0</v>
      </c>
    </row>
    <row r="239" spans="1:8">
      <c r="A239" s="32" t="s">
        <v>279</v>
      </c>
      <c r="B239" s="32" t="s">
        <v>584</v>
      </c>
      <c r="C239" s="32" t="s">
        <v>667</v>
      </c>
      <c r="D239" s="32">
        <v>1880</v>
      </c>
      <c r="E239" s="32">
        <v>1866</v>
      </c>
      <c r="F239" s="45">
        <v>-7.0000000000000001E-3</v>
      </c>
      <c r="G239" s="32" t="s">
        <v>670</v>
      </c>
      <c r="H239" s="32" t="b">
        <v>0</v>
      </c>
    </row>
    <row r="240" spans="1:8">
      <c r="A240" s="32" t="s">
        <v>280</v>
      </c>
      <c r="B240" s="32" t="s">
        <v>584</v>
      </c>
      <c r="C240" s="32" t="s">
        <v>667</v>
      </c>
      <c r="D240" s="32">
        <v>1898</v>
      </c>
      <c r="E240" s="32">
        <v>1889</v>
      </c>
      <c r="F240" s="45">
        <v>-5.0000000000000001E-3</v>
      </c>
      <c r="G240" s="32" t="s">
        <v>670</v>
      </c>
      <c r="H240" s="32" t="b">
        <v>0</v>
      </c>
    </row>
    <row r="241" spans="1:8">
      <c r="A241" s="32" t="s">
        <v>281</v>
      </c>
      <c r="B241" s="32" t="s">
        <v>584</v>
      </c>
      <c r="C241" s="32" t="s">
        <v>667</v>
      </c>
      <c r="D241" s="32">
        <v>4481</v>
      </c>
      <c r="E241" s="32">
        <v>4373</v>
      </c>
      <c r="F241" s="45">
        <v>-2.4E-2</v>
      </c>
      <c r="G241" s="32" t="s">
        <v>670</v>
      </c>
      <c r="H241" s="32" t="b">
        <v>1</v>
      </c>
    </row>
    <row r="242" spans="1:8">
      <c r="A242" s="32" t="s">
        <v>282</v>
      </c>
      <c r="B242" s="32" t="s">
        <v>584</v>
      </c>
      <c r="C242" s="32" t="s">
        <v>667</v>
      </c>
      <c r="D242" s="32">
        <v>1060</v>
      </c>
      <c r="E242" s="32">
        <v>1074</v>
      </c>
      <c r="F242" s="45">
        <v>1.2999999999999999E-2</v>
      </c>
      <c r="G242" s="32" t="s">
        <v>669</v>
      </c>
      <c r="H242" s="32" t="b">
        <v>0</v>
      </c>
    </row>
    <row r="243" spans="1:8">
      <c r="A243" s="32" t="s">
        <v>283</v>
      </c>
      <c r="B243" s="32" t="s">
        <v>584</v>
      </c>
      <c r="C243" s="32" t="s">
        <v>667</v>
      </c>
      <c r="D243" s="32">
        <v>1850</v>
      </c>
      <c r="E243" s="32">
        <v>1870</v>
      </c>
      <c r="F243" s="45">
        <v>1.0999999999999999E-2</v>
      </c>
      <c r="G243" s="32" t="s">
        <v>669</v>
      </c>
      <c r="H243" s="32" t="b">
        <v>0</v>
      </c>
    </row>
    <row r="244" spans="1:8">
      <c r="A244" s="32" t="s">
        <v>284</v>
      </c>
      <c r="B244" s="32" t="s">
        <v>584</v>
      </c>
      <c r="C244" s="32" t="s">
        <v>667</v>
      </c>
      <c r="D244" s="32">
        <v>283</v>
      </c>
      <c r="E244" s="32">
        <v>225</v>
      </c>
      <c r="F244" s="45">
        <v>-0.20499999999999999</v>
      </c>
      <c r="G244" s="32" t="s">
        <v>668</v>
      </c>
      <c r="H244" s="32" t="b">
        <v>1</v>
      </c>
    </row>
    <row r="245" spans="1:8">
      <c r="A245" s="32" t="s">
        <v>285</v>
      </c>
      <c r="B245" s="32" t="s">
        <v>584</v>
      </c>
      <c r="C245" s="32" t="s">
        <v>667</v>
      </c>
      <c r="D245" s="32">
        <v>919</v>
      </c>
      <c r="E245" s="32">
        <v>979</v>
      </c>
      <c r="F245" s="45">
        <v>6.5000000000000002E-2</v>
      </c>
      <c r="G245" s="32" t="s">
        <v>669</v>
      </c>
      <c r="H245" s="32" t="b">
        <v>0</v>
      </c>
    </row>
    <row r="246" spans="1:8">
      <c r="A246" s="32" t="s">
        <v>286</v>
      </c>
      <c r="B246" s="32" t="s">
        <v>584</v>
      </c>
      <c r="C246" s="32" t="s">
        <v>667</v>
      </c>
      <c r="D246" s="32">
        <v>909</v>
      </c>
      <c r="E246" s="32">
        <v>1040</v>
      </c>
      <c r="F246" s="45">
        <v>0.14399999999999999</v>
      </c>
      <c r="G246" s="32" t="s">
        <v>669</v>
      </c>
      <c r="H246" s="32" t="b">
        <v>0</v>
      </c>
    </row>
    <row r="247" spans="1:8">
      <c r="A247" s="32" t="s">
        <v>287</v>
      </c>
      <c r="B247" s="32" t="s">
        <v>584</v>
      </c>
      <c r="C247" s="32" t="s">
        <v>667</v>
      </c>
      <c r="D247" s="32">
        <v>936</v>
      </c>
      <c r="E247" s="32">
        <v>962</v>
      </c>
      <c r="F247" s="45">
        <v>2.8000000000000001E-2</v>
      </c>
      <c r="G247" s="32" t="s">
        <v>669</v>
      </c>
      <c r="H247" s="32" t="b">
        <v>0</v>
      </c>
    </row>
    <row r="248" spans="1:8">
      <c r="A248" s="32" t="s">
        <v>288</v>
      </c>
      <c r="B248" s="32" t="s">
        <v>586</v>
      </c>
      <c r="C248" s="32" t="s">
        <v>667</v>
      </c>
      <c r="D248" s="32">
        <v>824</v>
      </c>
      <c r="E248" s="32">
        <v>835</v>
      </c>
      <c r="F248" s="45">
        <v>1.2999999999999999E-2</v>
      </c>
      <c r="G248" s="32" t="s">
        <v>669</v>
      </c>
      <c r="H248" s="32" t="b">
        <v>0</v>
      </c>
    </row>
    <row r="249" spans="1:8">
      <c r="A249" s="32" t="s">
        <v>289</v>
      </c>
      <c r="B249" s="32" t="s">
        <v>586</v>
      </c>
      <c r="C249" s="32" t="s">
        <v>667</v>
      </c>
      <c r="D249" s="32">
        <v>429</v>
      </c>
      <c r="E249" s="32">
        <v>362</v>
      </c>
      <c r="F249" s="45">
        <v>-0.156</v>
      </c>
      <c r="G249" s="32" t="s">
        <v>668</v>
      </c>
      <c r="H249" s="32" t="b">
        <v>1</v>
      </c>
    </row>
    <row r="250" spans="1:8">
      <c r="A250" s="32" t="s">
        <v>290</v>
      </c>
      <c r="B250" s="32" t="s">
        <v>586</v>
      </c>
      <c r="C250" s="32" t="s">
        <v>667</v>
      </c>
      <c r="D250" s="32">
        <v>5371</v>
      </c>
      <c r="E250" s="32">
        <v>5113</v>
      </c>
      <c r="F250" s="45">
        <v>-4.8000000000000001E-2</v>
      </c>
      <c r="G250" s="32" t="s">
        <v>670</v>
      </c>
      <c r="H250" s="32" t="b">
        <v>1</v>
      </c>
    </row>
    <row r="251" spans="1:8">
      <c r="A251" s="32" t="s">
        <v>291</v>
      </c>
      <c r="B251" s="32" t="s">
        <v>586</v>
      </c>
      <c r="C251" s="32" t="s">
        <v>667</v>
      </c>
      <c r="D251" s="32">
        <v>1223</v>
      </c>
      <c r="E251" s="32">
        <v>1037</v>
      </c>
      <c r="F251" s="45">
        <v>-0.152</v>
      </c>
      <c r="G251" s="32" t="s">
        <v>668</v>
      </c>
      <c r="H251" s="32" t="b">
        <v>1</v>
      </c>
    </row>
    <row r="252" spans="1:8">
      <c r="A252" s="32" t="s">
        <v>292</v>
      </c>
      <c r="B252" s="32" t="s">
        <v>586</v>
      </c>
      <c r="C252" s="32" t="s">
        <v>667</v>
      </c>
      <c r="D252" s="32">
        <v>2341</v>
      </c>
      <c r="E252" s="32">
        <v>2141</v>
      </c>
      <c r="F252" s="45">
        <v>-8.5000000000000006E-2</v>
      </c>
      <c r="G252" s="32" t="s">
        <v>668</v>
      </c>
      <c r="H252" s="32" t="b">
        <v>1</v>
      </c>
    </row>
    <row r="253" spans="1:8">
      <c r="A253" s="32" t="s">
        <v>293</v>
      </c>
      <c r="B253" s="32" t="s">
        <v>586</v>
      </c>
      <c r="C253" s="32" t="s">
        <v>667</v>
      </c>
      <c r="D253" s="32">
        <v>1082</v>
      </c>
      <c r="E253" s="32">
        <v>1082</v>
      </c>
      <c r="F253" s="45">
        <v>0</v>
      </c>
      <c r="G253" s="32" t="s">
        <v>669</v>
      </c>
      <c r="H253" s="32" t="b">
        <v>0</v>
      </c>
    </row>
    <row r="254" spans="1:8">
      <c r="A254" s="32" t="s">
        <v>294</v>
      </c>
      <c r="B254" s="32" t="s">
        <v>586</v>
      </c>
      <c r="C254" s="32" t="s">
        <v>667</v>
      </c>
      <c r="D254" s="32">
        <v>847</v>
      </c>
      <c r="E254" s="32">
        <v>833</v>
      </c>
      <c r="F254" s="45">
        <v>-1.7000000000000001E-2</v>
      </c>
      <c r="G254" s="32" t="s">
        <v>670</v>
      </c>
      <c r="H254" s="32" t="b">
        <v>1</v>
      </c>
    </row>
    <row r="255" spans="1:8">
      <c r="A255" s="32" t="s">
        <v>295</v>
      </c>
      <c r="B255" s="32" t="s">
        <v>586</v>
      </c>
      <c r="C255" s="32" t="s">
        <v>667</v>
      </c>
      <c r="D255" s="32">
        <v>2617</v>
      </c>
      <c r="E255" s="32">
        <v>2897</v>
      </c>
      <c r="F255" s="45">
        <v>0.107</v>
      </c>
      <c r="G255" s="32" t="s">
        <v>669</v>
      </c>
      <c r="H255" s="32" t="b">
        <v>0</v>
      </c>
    </row>
    <row r="256" spans="1:8">
      <c r="A256" s="32" t="s">
        <v>296</v>
      </c>
      <c r="B256" s="32" t="s">
        <v>586</v>
      </c>
      <c r="C256" s="32" t="s">
        <v>667</v>
      </c>
      <c r="D256" s="32">
        <v>53</v>
      </c>
      <c r="E256" s="32">
        <v>61</v>
      </c>
      <c r="F256" s="45">
        <v>0.151</v>
      </c>
      <c r="G256" s="32" t="s">
        <v>669</v>
      </c>
      <c r="H256" s="32" t="b">
        <v>0</v>
      </c>
    </row>
    <row r="257" spans="1:8">
      <c r="A257" s="32" t="s">
        <v>297</v>
      </c>
      <c r="B257" s="32" t="s">
        <v>586</v>
      </c>
      <c r="C257" s="32" t="s">
        <v>667</v>
      </c>
      <c r="D257" s="32">
        <v>1906</v>
      </c>
      <c r="E257" s="32">
        <v>1913</v>
      </c>
      <c r="F257" s="45">
        <v>4.0000000000000001E-3</v>
      </c>
      <c r="G257" s="32" t="s">
        <v>669</v>
      </c>
      <c r="H257" s="32" t="b">
        <v>0</v>
      </c>
    </row>
    <row r="258" spans="1:8">
      <c r="A258" s="32" t="s">
        <v>298</v>
      </c>
      <c r="B258" s="32" t="s">
        <v>586</v>
      </c>
      <c r="C258" s="32" t="s">
        <v>667</v>
      </c>
      <c r="D258" s="32">
        <v>2706</v>
      </c>
      <c r="E258" s="32">
        <v>2715</v>
      </c>
      <c r="F258" s="45">
        <v>3.0000000000000001E-3</v>
      </c>
      <c r="G258" s="32" t="s">
        <v>669</v>
      </c>
      <c r="H258" s="32" t="b">
        <v>0</v>
      </c>
    </row>
    <row r="259" spans="1:8">
      <c r="A259" s="32" t="s">
        <v>299</v>
      </c>
      <c r="B259" s="32" t="s">
        <v>586</v>
      </c>
      <c r="C259" s="32" t="s">
        <v>667</v>
      </c>
      <c r="D259" s="32">
        <v>903</v>
      </c>
      <c r="E259" s="32">
        <v>932</v>
      </c>
      <c r="F259" s="45">
        <v>3.2000000000000001E-2</v>
      </c>
      <c r="G259" s="32" t="s">
        <v>669</v>
      </c>
      <c r="H259" s="32" t="b">
        <v>0</v>
      </c>
    </row>
    <row r="260" spans="1:8">
      <c r="A260" s="32" t="s">
        <v>300</v>
      </c>
      <c r="B260" s="32" t="s">
        <v>586</v>
      </c>
      <c r="C260" s="32" t="s">
        <v>667</v>
      </c>
      <c r="D260" s="32">
        <v>958</v>
      </c>
      <c r="E260" s="32">
        <v>990</v>
      </c>
      <c r="F260" s="45">
        <v>3.3000000000000002E-2</v>
      </c>
      <c r="G260" s="32" t="s">
        <v>669</v>
      </c>
      <c r="H260" s="32" t="b">
        <v>0</v>
      </c>
    </row>
    <row r="261" spans="1:8">
      <c r="A261" s="32" t="s">
        <v>301</v>
      </c>
      <c r="B261" s="32" t="s">
        <v>586</v>
      </c>
      <c r="C261" s="32" t="s">
        <v>667</v>
      </c>
      <c r="D261" s="32">
        <v>1006</v>
      </c>
      <c r="E261" s="32">
        <v>996</v>
      </c>
      <c r="F261" s="45">
        <v>-0.01</v>
      </c>
      <c r="G261" s="32" t="s">
        <v>670</v>
      </c>
      <c r="H261" s="32" t="b">
        <v>0</v>
      </c>
    </row>
    <row r="262" spans="1:8">
      <c r="A262" s="32" t="s">
        <v>302</v>
      </c>
      <c r="B262" s="32" t="s">
        <v>586</v>
      </c>
      <c r="C262" s="32" t="s">
        <v>667</v>
      </c>
      <c r="D262" s="32">
        <v>1192</v>
      </c>
      <c r="E262" s="32">
        <v>1194</v>
      </c>
      <c r="F262" s="45">
        <v>2E-3</v>
      </c>
      <c r="G262" s="32" t="s">
        <v>669</v>
      </c>
      <c r="H262" s="32" t="b">
        <v>0</v>
      </c>
    </row>
    <row r="263" spans="1:8">
      <c r="A263" s="32" t="s">
        <v>303</v>
      </c>
      <c r="B263" s="32" t="s">
        <v>586</v>
      </c>
      <c r="C263" s="32" t="s">
        <v>667</v>
      </c>
      <c r="D263" s="32">
        <v>2395</v>
      </c>
      <c r="E263" s="32">
        <v>2390</v>
      </c>
      <c r="F263" s="45">
        <v>-2E-3</v>
      </c>
      <c r="G263" s="32" t="s">
        <v>670</v>
      </c>
      <c r="H263" s="32" t="b">
        <v>0</v>
      </c>
    </row>
    <row r="264" spans="1:8">
      <c r="A264" s="32" t="s">
        <v>304</v>
      </c>
      <c r="B264" s="32" t="s">
        <v>586</v>
      </c>
      <c r="C264" s="32" t="s">
        <v>667</v>
      </c>
      <c r="D264" s="32">
        <v>2085</v>
      </c>
      <c r="E264" s="32">
        <v>2094</v>
      </c>
      <c r="F264" s="45">
        <v>4.0000000000000001E-3</v>
      </c>
      <c r="G264" s="32" t="s">
        <v>669</v>
      </c>
      <c r="H264" s="32" t="b">
        <v>0</v>
      </c>
    </row>
    <row r="265" spans="1:8">
      <c r="A265" s="32" t="s">
        <v>305</v>
      </c>
      <c r="B265" s="32" t="s">
        <v>588</v>
      </c>
      <c r="C265" s="32" t="s">
        <v>667</v>
      </c>
      <c r="D265" s="32">
        <v>1568</v>
      </c>
      <c r="E265" s="32">
        <v>1570</v>
      </c>
      <c r="F265" s="45">
        <v>1E-3</v>
      </c>
      <c r="G265" s="32" t="s">
        <v>669</v>
      </c>
      <c r="H265" s="32" t="b">
        <v>0</v>
      </c>
    </row>
    <row r="266" spans="1:8">
      <c r="A266" s="32" t="s">
        <v>306</v>
      </c>
      <c r="B266" s="32" t="s">
        <v>588</v>
      </c>
      <c r="C266" s="32" t="s">
        <v>667</v>
      </c>
      <c r="D266" s="32">
        <v>2057</v>
      </c>
      <c r="E266" s="32">
        <v>2023</v>
      </c>
      <c r="F266" s="45">
        <v>-1.7000000000000001E-2</v>
      </c>
      <c r="G266" s="32" t="s">
        <v>670</v>
      </c>
      <c r="H266" s="32" t="b">
        <v>1</v>
      </c>
    </row>
    <row r="267" spans="1:8">
      <c r="A267" s="32" t="s">
        <v>307</v>
      </c>
      <c r="B267" s="32" t="s">
        <v>588</v>
      </c>
      <c r="C267" s="32" t="s">
        <v>667</v>
      </c>
      <c r="D267" s="32">
        <v>719</v>
      </c>
      <c r="E267" s="32">
        <v>481</v>
      </c>
      <c r="F267" s="45">
        <v>-0.33100000000000002</v>
      </c>
      <c r="G267" s="32" t="s">
        <v>668</v>
      </c>
      <c r="H267" s="32" t="b">
        <v>1</v>
      </c>
    </row>
    <row r="268" spans="1:8">
      <c r="A268" s="32" t="s">
        <v>309</v>
      </c>
      <c r="B268" s="32" t="s">
        <v>588</v>
      </c>
      <c r="C268" s="32" t="s">
        <v>667</v>
      </c>
      <c r="D268" s="32">
        <v>432</v>
      </c>
      <c r="E268" s="32">
        <v>556</v>
      </c>
      <c r="F268" s="45">
        <v>0.28699999999999998</v>
      </c>
      <c r="G268" s="32" t="s">
        <v>669</v>
      </c>
      <c r="H268" s="32" t="b">
        <v>0</v>
      </c>
    </row>
    <row r="269" spans="1:8">
      <c r="A269" s="32" t="s">
        <v>310</v>
      </c>
      <c r="B269" s="32" t="s">
        <v>588</v>
      </c>
      <c r="C269" s="32" t="s">
        <v>667</v>
      </c>
      <c r="D269" s="32">
        <v>740</v>
      </c>
      <c r="E269" s="32">
        <v>644</v>
      </c>
      <c r="F269" s="45">
        <v>-0.13</v>
      </c>
      <c r="G269" s="32" t="s">
        <v>668</v>
      </c>
      <c r="H269" s="32" t="b">
        <v>1</v>
      </c>
    </row>
    <row r="270" spans="1:8">
      <c r="A270" s="32" t="s">
        <v>615</v>
      </c>
      <c r="B270" s="32" t="s">
        <v>588</v>
      </c>
      <c r="C270" s="32" t="s">
        <v>667</v>
      </c>
      <c r="D270" s="32">
        <v>143</v>
      </c>
      <c r="E270" s="32">
        <v>82</v>
      </c>
      <c r="F270" s="45">
        <v>-0.42699999999999999</v>
      </c>
      <c r="G270" s="32" t="s">
        <v>668</v>
      </c>
      <c r="H270" s="32" t="b">
        <v>1</v>
      </c>
    </row>
    <row r="271" spans="1:8">
      <c r="A271" s="32" t="s">
        <v>312</v>
      </c>
      <c r="B271" s="32" t="s">
        <v>588</v>
      </c>
      <c r="C271" s="32" t="s">
        <v>667</v>
      </c>
      <c r="D271" s="32">
        <v>130</v>
      </c>
      <c r="E271" s="32">
        <v>54</v>
      </c>
      <c r="F271" s="45">
        <v>-0.58499999999999996</v>
      </c>
      <c r="G271" s="32" t="s">
        <v>668</v>
      </c>
      <c r="H271" s="32" t="b">
        <v>1</v>
      </c>
    </row>
    <row r="272" spans="1:8">
      <c r="A272" s="32" t="s">
        <v>313</v>
      </c>
      <c r="B272" s="32" t="s">
        <v>588</v>
      </c>
      <c r="C272" s="32" t="s">
        <v>667</v>
      </c>
      <c r="D272" s="32">
        <v>1953</v>
      </c>
      <c r="E272" s="32">
        <v>1959</v>
      </c>
      <c r="F272" s="45">
        <v>3.0000000000000001E-3</v>
      </c>
      <c r="G272" s="32" t="s">
        <v>669</v>
      </c>
      <c r="H272" s="32" t="b">
        <v>0</v>
      </c>
    </row>
    <row r="273" spans="1:8">
      <c r="A273" s="32" t="s">
        <v>314</v>
      </c>
      <c r="B273" s="32" t="s">
        <v>588</v>
      </c>
      <c r="C273" s="32" t="s">
        <v>667</v>
      </c>
      <c r="D273" s="32">
        <v>2028</v>
      </c>
      <c r="E273" s="32">
        <v>2072</v>
      </c>
      <c r="F273" s="45">
        <v>2.1999999999999999E-2</v>
      </c>
      <c r="G273" s="32" t="s">
        <v>669</v>
      </c>
      <c r="H273" s="32" t="b">
        <v>0</v>
      </c>
    </row>
    <row r="274" spans="1:8">
      <c r="A274" s="32" t="s">
        <v>315</v>
      </c>
      <c r="B274" s="32" t="s">
        <v>588</v>
      </c>
      <c r="C274" s="32" t="s">
        <v>667</v>
      </c>
      <c r="D274" s="32">
        <v>1942</v>
      </c>
      <c r="E274" s="32">
        <v>1958</v>
      </c>
      <c r="F274" s="45">
        <v>8.0000000000000002E-3</v>
      </c>
      <c r="G274" s="32" t="s">
        <v>669</v>
      </c>
      <c r="H274" s="32" t="b">
        <v>0</v>
      </c>
    </row>
    <row r="275" spans="1:8">
      <c r="A275" s="32" t="s">
        <v>316</v>
      </c>
      <c r="B275" s="32" t="s">
        <v>588</v>
      </c>
      <c r="C275" s="32" t="s">
        <v>667</v>
      </c>
      <c r="D275" s="32">
        <v>1675</v>
      </c>
      <c r="E275" s="32">
        <v>1704</v>
      </c>
      <c r="F275" s="45">
        <v>1.7000000000000001E-2</v>
      </c>
      <c r="G275" s="32" t="s">
        <v>669</v>
      </c>
      <c r="H275" s="32" t="b">
        <v>0</v>
      </c>
    </row>
    <row r="276" spans="1:8">
      <c r="A276" s="32" t="s">
        <v>317</v>
      </c>
      <c r="B276" s="32" t="s">
        <v>588</v>
      </c>
      <c r="C276" s="32" t="s">
        <v>667</v>
      </c>
      <c r="D276" s="32">
        <v>1423</v>
      </c>
      <c r="E276" s="32">
        <v>1464</v>
      </c>
      <c r="F276" s="45">
        <v>2.9000000000000001E-2</v>
      </c>
      <c r="G276" s="32" t="s">
        <v>669</v>
      </c>
      <c r="H276" s="32" t="b">
        <v>0</v>
      </c>
    </row>
    <row r="277" spans="1:8">
      <c r="A277" s="32" t="s">
        <v>318</v>
      </c>
      <c r="B277" s="32" t="s">
        <v>588</v>
      </c>
      <c r="C277" s="32" t="s">
        <v>667</v>
      </c>
      <c r="D277" s="32">
        <v>568</v>
      </c>
      <c r="E277" s="32">
        <v>539</v>
      </c>
      <c r="F277" s="45">
        <v>-5.0999999999999997E-2</v>
      </c>
      <c r="G277" s="32" t="s">
        <v>668</v>
      </c>
      <c r="H277" s="32" t="b">
        <v>1</v>
      </c>
    </row>
    <row r="278" spans="1:8">
      <c r="A278" s="32" t="s">
        <v>319</v>
      </c>
      <c r="B278" s="32" t="s">
        <v>588</v>
      </c>
      <c r="C278" s="32" t="s">
        <v>667</v>
      </c>
      <c r="D278" s="32">
        <v>741</v>
      </c>
      <c r="E278" s="32">
        <v>784</v>
      </c>
      <c r="F278" s="45">
        <v>5.8000000000000003E-2</v>
      </c>
      <c r="G278" s="32" t="s">
        <v>669</v>
      </c>
      <c r="H278" s="32" t="b">
        <v>0</v>
      </c>
    </row>
    <row r="279" spans="1:8">
      <c r="A279" s="32" t="s">
        <v>320</v>
      </c>
      <c r="B279" s="32" t="s">
        <v>588</v>
      </c>
      <c r="C279" s="32" t="s">
        <v>667</v>
      </c>
      <c r="D279" s="32">
        <v>1322</v>
      </c>
      <c r="E279" s="32">
        <v>1241</v>
      </c>
      <c r="F279" s="45">
        <v>-6.0999999999999999E-2</v>
      </c>
      <c r="G279" s="32" t="s">
        <v>668</v>
      </c>
      <c r="H279" s="32" t="b">
        <v>1</v>
      </c>
    </row>
    <row r="280" spans="1:8">
      <c r="A280" s="32" t="s">
        <v>321</v>
      </c>
      <c r="B280" s="32" t="s">
        <v>588</v>
      </c>
      <c r="C280" s="32" t="s">
        <v>667</v>
      </c>
      <c r="D280" s="32">
        <v>442</v>
      </c>
      <c r="E280" s="32">
        <v>433</v>
      </c>
      <c r="F280" s="45">
        <v>-0.02</v>
      </c>
      <c r="G280" s="32" t="s">
        <v>670</v>
      </c>
      <c r="H280" s="32" t="b">
        <v>1</v>
      </c>
    </row>
    <row r="281" spans="1:8">
      <c r="A281" s="32" t="s">
        <v>322</v>
      </c>
      <c r="B281" s="32" t="s">
        <v>588</v>
      </c>
      <c r="C281" s="32" t="s">
        <v>667</v>
      </c>
      <c r="D281" s="32">
        <v>1078</v>
      </c>
      <c r="E281" s="32">
        <v>1074</v>
      </c>
      <c r="F281" s="45">
        <v>-4.0000000000000001E-3</v>
      </c>
      <c r="G281" s="32" t="s">
        <v>670</v>
      </c>
      <c r="H281" s="32" t="b">
        <v>0</v>
      </c>
    </row>
    <row r="282" spans="1:8">
      <c r="A282" s="32" t="s">
        <v>323</v>
      </c>
      <c r="B282" s="32" t="s">
        <v>588</v>
      </c>
      <c r="C282" s="32" t="s">
        <v>667</v>
      </c>
      <c r="D282" s="32">
        <v>109</v>
      </c>
      <c r="E282" s="32">
        <v>21</v>
      </c>
      <c r="F282" s="45">
        <v>-0.80700000000000005</v>
      </c>
      <c r="G282" s="32" t="s">
        <v>668</v>
      </c>
      <c r="H282" s="32" t="b">
        <v>1</v>
      </c>
    </row>
    <row r="283" spans="1:8">
      <c r="A283" s="32" t="s">
        <v>324</v>
      </c>
      <c r="B283" s="32" t="s">
        <v>588</v>
      </c>
      <c r="C283" s="32" t="s">
        <v>667</v>
      </c>
      <c r="D283" s="32">
        <v>1111</v>
      </c>
      <c r="E283" s="32">
        <v>1112</v>
      </c>
      <c r="F283" s="45">
        <v>1E-3</v>
      </c>
      <c r="G283" s="32" t="s">
        <v>669</v>
      </c>
      <c r="H283" s="32" t="b">
        <v>0</v>
      </c>
    </row>
    <row r="284" spans="1:8">
      <c r="A284" s="32" t="s">
        <v>325</v>
      </c>
      <c r="B284" s="32" t="s">
        <v>588</v>
      </c>
      <c r="C284" s="32" t="s">
        <v>667</v>
      </c>
      <c r="D284" s="32">
        <v>572</v>
      </c>
      <c r="E284" s="32">
        <v>615</v>
      </c>
      <c r="F284" s="45">
        <v>7.4999999999999997E-2</v>
      </c>
      <c r="G284" s="32" t="s">
        <v>669</v>
      </c>
      <c r="H284" s="32" t="b">
        <v>0</v>
      </c>
    </row>
    <row r="285" spans="1:8">
      <c r="A285" s="32" t="s">
        <v>326</v>
      </c>
      <c r="B285" s="32" t="s">
        <v>588</v>
      </c>
      <c r="C285" s="32" t="s">
        <v>667</v>
      </c>
      <c r="D285" s="32">
        <v>329</v>
      </c>
      <c r="E285" s="32">
        <v>336</v>
      </c>
      <c r="F285" s="45">
        <v>2.1000000000000001E-2</v>
      </c>
      <c r="G285" s="32" t="s">
        <v>669</v>
      </c>
      <c r="H285" s="32" t="b">
        <v>0</v>
      </c>
    </row>
    <row r="286" spans="1:8">
      <c r="A286" s="32" t="s">
        <v>327</v>
      </c>
      <c r="B286" s="32" t="s">
        <v>588</v>
      </c>
      <c r="C286" s="32" t="s">
        <v>667</v>
      </c>
      <c r="D286" s="32">
        <v>241</v>
      </c>
      <c r="E286" s="32">
        <v>241</v>
      </c>
      <c r="F286" s="45">
        <v>0</v>
      </c>
      <c r="G286" s="32" t="s">
        <v>669</v>
      </c>
      <c r="H286" s="32" t="b">
        <v>0</v>
      </c>
    </row>
    <row r="287" spans="1:8">
      <c r="A287" s="32" t="s">
        <v>328</v>
      </c>
      <c r="B287" s="32" t="s">
        <v>584</v>
      </c>
      <c r="C287" s="32" t="s">
        <v>667</v>
      </c>
      <c r="D287" s="32">
        <v>1053</v>
      </c>
      <c r="E287" s="32">
        <v>1079</v>
      </c>
      <c r="F287" s="45">
        <v>2.5000000000000001E-2</v>
      </c>
      <c r="G287" s="32" t="s">
        <v>669</v>
      </c>
      <c r="H287" s="32" t="b">
        <v>0</v>
      </c>
    </row>
    <row r="288" spans="1:8">
      <c r="A288" s="32" t="s">
        <v>329</v>
      </c>
      <c r="B288" s="32" t="s">
        <v>584</v>
      </c>
      <c r="C288" s="32" t="s">
        <v>667</v>
      </c>
      <c r="D288" s="32">
        <v>1069</v>
      </c>
      <c r="E288" s="32">
        <v>1053</v>
      </c>
      <c r="F288" s="45">
        <v>-1.4999999999999999E-2</v>
      </c>
      <c r="G288" s="32" t="s">
        <v>670</v>
      </c>
      <c r="H288" s="32" t="b">
        <v>0</v>
      </c>
    </row>
    <row r="289" spans="1:8">
      <c r="A289" s="32" t="s">
        <v>616</v>
      </c>
      <c r="B289" s="32" t="s">
        <v>584</v>
      </c>
      <c r="C289" s="32" t="s">
        <v>667</v>
      </c>
      <c r="D289" s="32">
        <v>199</v>
      </c>
      <c r="E289" s="32">
        <v>212</v>
      </c>
      <c r="F289" s="45">
        <v>6.5000000000000002E-2</v>
      </c>
      <c r="G289" s="32" t="s">
        <v>669</v>
      </c>
      <c r="H289" s="32" t="b">
        <v>0</v>
      </c>
    </row>
    <row r="290" spans="1:8">
      <c r="A290" s="32" t="s">
        <v>331</v>
      </c>
      <c r="B290" s="32" t="s">
        <v>584</v>
      </c>
      <c r="C290" s="32" t="s">
        <v>667</v>
      </c>
      <c r="D290" s="32">
        <v>2140</v>
      </c>
      <c r="E290" s="32">
        <v>2146</v>
      </c>
      <c r="F290" s="45">
        <v>3.0000000000000001E-3</v>
      </c>
      <c r="G290" s="32" t="s">
        <v>669</v>
      </c>
      <c r="H290" s="32" t="b">
        <v>0</v>
      </c>
    </row>
    <row r="291" spans="1:8">
      <c r="A291" s="32" t="s">
        <v>332</v>
      </c>
      <c r="B291" s="32" t="s">
        <v>584</v>
      </c>
      <c r="C291" s="32" t="s">
        <v>667</v>
      </c>
      <c r="D291" s="32">
        <v>1571</v>
      </c>
      <c r="E291" s="32">
        <v>1562</v>
      </c>
      <c r="F291" s="45">
        <v>-6.0000000000000001E-3</v>
      </c>
      <c r="G291" s="32" t="s">
        <v>670</v>
      </c>
      <c r="H291" s="32" t="b">
        <v>0</v>
      </c>
    </row>
    <row r="292" spans="1:8">
      <c r="A292" s="32" t="s">
        <v>333</v>
      </c>
      <c r="B292" s="32" t="s">
        <v>584</v>
      </c>
      <c r="C292" s="32" t="s">
        <v>667</v>
      </c>
      <c r="D292" s="32">
        <v>2752</v>
      </c>
      <c r="E292" s="32">
        <v>2548</v>
      </c>
      <c r="F292" s="45">
        <v>-7.3999999999999996E-2</v>
      </c>
      <c r="G292" s="32" t="s">
        <v>668</v>
      </c>
      <c r="H292" s="32" t="b">
        <v>1</v>
      </c>
    </row>
    <row r="293" spans="1:8">
      <c r="A293" s="32" t="s">
        <v>334</v>
      </c>
      <c r="B293" s="32" t="s">
        <v>584</v>
      </c>
      <c r="C293" s="32" t="s">
        <v>667</v>
      </c>
      <c r="D293" s="32">
        <v>1116</v>
      </c>
      <c r="E293" s="32">
        <v>1144</v>
      </c>
      <c r="F293" s="45">
        <v>2.5000000000000001E-2</v>
      </c>
      <c r="G293" s="32" t="s">
        <v>669</v>
      </c>
      <c r="H293" s="32" t="b">
        <v>0</v>
      </c>
    </row>
    <row r="294" spans="1:8">
      <c r="A294" s="32" t="s">
        <v>335</v>
      </c>
      <c r="B294" s="32" t="s">
        <v>584</v>
      </c>
      <c r="C294" s="32" t="s">
        <v>667</v>
      </c>
      <c r="D294" s="32">
        <v>968</v>
      </c>
      <c r="E294" s="32">
        <v>1084</v>
      </c>
      <c r="F294" s="45">
        <v>0.12</v>
      </c>
      <c r="G294" s="32" t="s">
        <v>669</v>
      </c>
      <c r="H294" s="32" t="b">
        <v>0</v>
      </c>
    </row>
    <row r="295" spans="1:8">
      <c r="A295" s="32" t="s">
        <v>336</v>
      </c>
      <c r="B295" s="32" t="s">
        <v>584</v>
      </c>
      <c r="C295" s="32" t="s">
        <v>667</v>
      </c>
      <c r="D295" s="32">
        <v>511</v>
      </c>
      <c r="E295" s="32">
        <v>539</v>
      </c>
      <c r="F295" s="45">
        <v>5.5E-2</v>
      </c>
      <c r="G295" s="32" t="s">
        <v>669</v>
      </c>
      <c r="H295" s="32" t="b">
        <v>0</v>
      </c>
    </row>
    <row r="296" spans="1:8">
      <c r="A296" s="32" t="s">
        <v>337</v>
      </c>
      <c r="B296" s="32" t="s">
        <v>584</v>
      </c>
      <c r="C296" s="32" t="s">
        <v>667</v>
      </c>
      <c r="D296" s="32">
        <v>1317</v>
      </c>
      <c r="E296" s="32">
        <v>1323</v>
      </c>
      <c r="F296" s="45">
        <v>5.0000000000000001E-3</v>
      </c>
      <c r="G296" s="32" t="s">
        <v>669</v>
      </c>
      <c r="H296" s="32" t="b">
        <v>0</v>
      </c>
    </row>
    <row r="297" spans="1:8">
      <c r="A297" s="32" t="s">
        <v>338</v>
      </c>
      <c r="B297" s="32" t="s">
        <v>584</v>
      </c>
      <c r="C297" s="32" t="s">
        <v>667</v>
      </c>
      <c r="D297" s="32">
        <v>83</v>
      </c>
      <c r="E297" s="32">
        <v>88</v>
      </c>
      <c r="F297" s="45">
        <v>0.06</v>
      </c>
      <c r="G297" s="32" t="s">
        <v>669</v>
      </c>
      <c r="H297" s="32" t="b">
        <v>0</v>
      </c>
    </row>
    <row r="298" spans="1:8">
      <c r="A298" s="32" t="s">
        <v>339</v>
      </c>
      <c r="B298" s="32" t="s">
        <v>584</v>
      </c>
      <c r="C298" s="32" t="s">
        <v>667</v>
      </c>
      <c r="D298" s="32">
        <v>751</v>
      </c>
      <c r="E298" s="32">
        <v>920</v>
      </c>
      <c r="F298" s="45">
        <v>0.22500000000000001</v>
      </c>
      <c r="G298" s="32" t="s">
        <v>669</v>
      </c>
      <c r="H298" s="32" t="b">
        <v>0</v>
      </c>
    </row>
    <row r="299" spans="1:8">
      <c r="A299" s="32" t="s">
        <v>340</v>
      </c>
      <c r="B299" s="32" t="s">
        <v>584</v>
      </c>
      <c r="C299" s="32" t="s">
        <v>667</v>
      </c>
      <c r="D299" s="32">
        <v>2237</v>
      </c>
      <c r="E299" s="32">
        <v>2189</v>
      </c>
      <c r="F299" s="45">
        <v>-2.1000000000000001E-2</v>
      </c>
      <c r="G299" s="32" t="s">
        <v>670</v>
      </c>
      <c r="H299" s="32" t="b">
        <v>1</v>
      </c>
    </row>
    <row r="300" spans="1:8">
      <c r="A300" s="32" t="s">
        <v>341</v>
      </c>
      <c r="B300" s="32" t="s">
        <v>584</v>
      </c>
      <c r="C300" s="32" t="s">
        <v>667</v>
      </c>
      <c r="D300" s="32">
        <v>1688</v>
      </c>
      <c r="E300" s="32">
        <v>1661</v>
      </c>
      <c r="F300" s="45">
        <v>-1.6E-2</v>
      </c>
      <c r="G300" s="32" t="s">
        <v>670</v>
      </c>
      <c r="H300" s="32" t="b">
        <v>1</v>
      </c>
    </row>
    <row r="301" spans="1:8">
      <c r="A301" s="32" t="s">
        <v>342</v>
      </c>
      <c r="B301" s="32" t="s">
        <v>584</v>
      </c>
      <c r="C301" s="32" t="s">
        <v>667</v>
      </c>
      <c r="D301" s="32">
        <v>1060</v>
      </c>
      <c r="E301" s="32">
        <v>1051</v>
      </c>
      <c r="F301" s="45">
        <v>-8.0000000000000002E-3</v>
      </c>
      <c r="G301" s="32" t="s">
        <v>670</v>
      </c>
      <c r="H301" s="32" t="b">
        <v>0</v>
      </c>
    </row>
    <row r="302" spans="1:8">
      <c r="A302" s="32" t="s">
        <v>343</v>
      </c>
      <c r="B302" s="32" t="s">
        <v>584</v>
      </c>
      <c r="C302" s="32" t="s">
        <v>667</v>
      </c>
      <c r="D302" s="32">
        <v>498</v>
      </c>
      <c r="E302" s="32">
        <v>369</v>
      </c>
      <c r="F302" s="45">
        <v>-0.25900000000000001</v>
      </c>
      <c r="G302" s="32" t="s">
        <v>668</v>
      </c>
      <c r="H302" s="32" t="b">
        <v>1</v>
      </c>
    </row>
    <row r="303" spans="1:8">
      <c r="A303" s="32" t="s">
        <v>344</v>
      </c>
      <c r="B303" s="32" t="s">
        <v>584</v>
      </c>
      <c r="C303" s="32" t="s">
        <v>667</v>
      </c>
      <c r="D303" s="32">
        <v>2860</v>
      </c>
      <c r="E303" s="32">
        <v>2821</v>
      </c>
      <c r="F303" s="45">
        <v>-1.4E-2</v>
      </c>
      <c r="G303" s="32" t="s">
        <v>670</v>
      </c>
      <c r="H303" s="32" t="b">
        <v>0</v>
      </c>
    </row>
    <row r="304" spans="1:8">
      <c r="A304" s="32" t="s">
        <v>345</v>
      </c>
      <c r="B304" s="32" t="s">
        <v>584</v>
      </c>
      <c r="C304" s="32" t="s">
        <v>667</v>
      </c>
      <c r="D304" s="32">
        <v>2349</v>
      </c>
      <c r="E304" s="32">
        <v>2291</v>
      </c>
      <c r="F304" s="45">
        <v>-2.5000000000000001E-2</v>
      </c>
      <c r="G304" s="32" t="s">
        <v>670</v>
      </c>
      <c r="H304" s="32" t="b">
        <v>1</v>
      </c>
    </row>
    <row r="305" spans="1:8">
      <c r="A305" s="32" t="s">
        <v>346</v>
      </c>
      <c r="B305" s="32" t="s">
        <v>584</v>
      </c>
      <c r="C305" s="32" t="s">
        <v>667</v>
      </c>
      <c r="D305" s="32">
        <v>2424</v>
      </c>
      <c r="E305" s="32">
        <v>2393</v>
      </c>
      <c r="F305" s="45">
        <v>-1.2999999999999999E-2</v>
      </c>
      <c r="G305" s="32" t="s">
        <v>670</v>
      </c>
      <c r="H305" s="32" t="b">
        <v>0</v>
      </c>
    </row>
    <row r="306" spans="1:8">
      <c r="A306" s="32" t="s">
        <v>617</v>
      </c>
      <c r="B306" s="32" t="s">
        <v>584</v>
      </c>
      <c r="C306" s="32" t="s">
        <v>667</v>
      </c>
      <c r="D306" s="32">
        <v>905</v>
      </c>
      <c r="E306" s="32">
        <v>914</v>
      </c>
      <c r="F306" s="45">
        <v>0.01</v>
      </c>
      <c r="G306" s="32" t="s">
        <v>669</v>
      </c>
      <c r="H306" s="32" t="b">
        <v>0</v>
      </c>
    </row>
    <row r="307" spans="1:8">
      <c r="A307" s="32" t="s">
        <v>348</v>
      </c>
      <c r="B307" s="32" t="s">
        <v>584</v>
      </c>
      <c r="C307" s="32" t="s">
        <v>667</v>
      </c>
      <c r="D307" s="32">
        <v>1598</v>
      </c>
      <c r="E307" s="32">
        <v>1594</v>
      </c>
      <c r="F307" s="45">
        <v>-3.0000000000000001E-3</v>
      </c>
      <c r="G307" s="32" t="s">
        <v>670</v>
      </c>
      <c r="H307" s="32" t="b">
        <v>0</v>
      </c>
    </row>
    <row r="308" spans="1:8">
      <c r="A308" s="32" t="s">
        <v>349</v>
      </c>
      <c r="B308" s="32" t="s">
        <v>584</v>
      </c>
      <c r="C308" s="32" t="s">
        <v>667</v>
      </c>
      <c r="D308" s="32">
        <v>1219</v>
      </c>
      <c r="E308" s="32">
        <v>1219</v>
      </c>
      <c r="F308" s="45">
        <v>0</v>
      </c>
      <c r="G308" s="32" t="s">
        <v>669</v>
      </c>
      <c r="H308" s="32" t="b">
        <v>0</v>
      </c>
    </row>
    <row r="309" spans="1:8">
      <c r="A309" s="32" t="s">
        <v>350</v>
      </c>
      <c r="B309" s="32" t="s">
        <v>584</v>
      </c>
      <c r="C309" s="32" t="s">
        <v>667</v>
      </c>
      <c r="D309" s="32">
        <v>1683</v>
      </c>
      <c r="E309" s="32">
        <v>1645</v>
      </c>
      <c r="F309" s="45">
        <v>-2.3E-2</v>
      </c>
      <c r="G309" s="32" t="s">
        <v>670</v>
      </c>
      <c r="H309" s="32" t="b">
        <v>1</v>
      </c>
    </row>
    <row r="310" spans="1:8">
      <c r="A310" s="32" t="s">
        <v>351</v>
      </c>
      <c r="B310" s="32" t="s">
        <v>584</v>
      </c>
      <c r="C310" s="32" t="s">
        <v>667</v>
      </c>
      <c r="D310" s="32">
        <v>925</v>
      </c>
      <c r="E310" s="32">
        <v>910</v>
      </c>
      <c r="F310" s="45">
        <v>-1.6E-2</v>
      </c>
      <c r="G310" s="32" t="s">
        <v>670</v>
      </c>
      <c r="H310" s="32" t="b">
        <v>1</v>
      </c>
    </row>
    <row r="311" spans="1:8">
      <c r="A311" s="32" t="s">
        <v>352</v>
      </c>
      <c r="B311" s="32" t="s">
        <v>584</v>
      </c>
      <c r="C311" s="32" t="s">
        <v>667</v>
      </c>
      <c r="D311" s="32">
        <v>622</v>
      </c>
      <c r="E311" s="32">
        <v>620</v>
      </c>
      <c r="F311" s="45">
        <v>-3.0000000000000001E-3</v>
      </c>
      <c r="G311" s="32" t="s">
        <v>670</v>
      </c>
      <c r="H311" s="32" t="b">
        <v>0</v>
      </c>
    </row>
    <row r="312" spans="1:8">
      <c r="A312" s="32" t="s">
        <v>353</v>
      </c>
      <c r="B312" s="32" t="s">
        <v>584</v>
      </c>
      <c r="C312" s="32" t="s">
        <v>667</v>
      </c>
      <c r="D312" s="32">
        <v>1494</v>
      </c>
      <c r="E312" s="32">
        <v>1399</v>
      </c>
      <c r="F312" s="45">
        <v>-6.4000000000000001E-2</v>
      </c>
      <c r="G312" s="32" t="s">
        <v>668</v>
      </c>
      <c r="H312" s="32" t="b">
        <v>1</v>
      </c>
    </row>
    <row r="313" spans="1:8">
      <c r="A313" s="32" t="s">
        <v>354</v>
      </c>
      <c r="B313" s="32" t="s">
        <v>584</v>
      </c>
      <c r="C313" s="32" t="s">
        <v>667</v>
      </c>
      <c r="D313" s="32">
        <v>363</v>
      </c>
      <c r="E313" s="32">
        <v>232</v>
      </c>
      <c r="F313" s="45">
        <v>-0.36099999999999999</v>
      </c>
      <c r="G313" s="32" t="s">
        <v>668</v>
      </c>
      <c r="H313" s="32" t="b">
        <v>1</v>
      </c>
    </row>
    <row r="314" spans="1:8">
      <c r="A314" s="32" t="s">
        <v>355</v>
      </c>
      <c r="B314" s="32" t="s">
        <v>584</v>
      </c>
      <c r="C314" s="32" t="s">
        <v>667</v>
      </c>
      <c r="D314" s="32">
        <v>307</v>
      </c>
      <c r="E314" s="32">
        <v>192</v>
      </c>
      <c r="F314" s="45">
        <v>-0.375</v>
      </c>
      <c r="G314" s="32" t="s">
        <v>668</v>
      </c>
      <c r="H314" s="32" t="b">
        <v>1</v>
      </c>
    </row>
    <row r="315" spans="1:8">
      <c r="A315" s="32" t="s">
        <v>356</v>
      </c>
      <c r="B315" s="32" t="s">
        <v>584</v>
      </c>
      <c r="C315" s="32" t="s">
        <v>667</v>
      </c>
      <c r="D315" s="32">
        <v>794</v>
      </c>
      <c r="E315" s="32">
        <v>790</v>
      </c>
      <c r="F315" s="45">
        <v>-5.0000000000000001E-3</v>
      </c>
      <c r="G315" s="32" t="s">
        <v>670</v>
      </c>
      <c r="H315" s="32" t="b">
        <v>0</v>
      </c>
    </row>
    <row r="316" spans="1:8">
      <c r="A316" s="32" t="s">
        <v>357</v>
      </c>
      <c r="B316" s="32" t="s">
        <v>584</v>
      </c>
      <c r="C316" s="32" t="s">
        <v>667</v>
      </c>
      <c r="D316" s="32">
        <v>862</v>
      </c>
      <c r="E316" s="32">
        <v>782</v>
      </c>
      <c r="F316" s="45">
        <v>-9.2999999999999999E-2</v>
      </c>
      <c r="G316" s="32" t="s">
        <v>668</v>
      </c>
      <c r="H316" s="32" t="b">
        <v>1</v>
      </c>
    </row>
    <row r="317" spans="1:8">
      <c r="A317" s="32" t="s">
        <v>618</v>
      </c>
      <c r="B317" s="32" t="s">
        <v>584</v>
      </c>
      <c r="C317" s="32" t="s">
        <v>667</v>
      </c>
      <c r="D317" s="32">
        <v>231</v>
      </c>
      <c r="E317" s="32">
        <v>277</v>
      </c>
      <c r="F317" s="45">
        <v>0.19900000000000001</v>
      </c>
      <c r="G317" s="32" t="s">
        <v>669</v>
      </c>
      <c r="H317" s="32" t="b">
        <v>0</v>
      </c>
    </row>
    <row r="318" spans="1:8">
      <c r="A318" s="32" t="s">
        <v>359</v>
      </c>
      <c r="B318" s="32" t="s">
        <v>584</v>
      </c>
      <c r="C318" s="32" t="s">
        <v>667</v>
      </c>
      <c r="D318" s="32">
        <v>1893</v>
      </c>
      <c r="E318" s="32">
        <v>1861</v>
      </c>
      <c r="F318" s="45">
        <v>-1.7000000000000001E-2</v>
      </c>
      <c r="G318" s="32" t="s">
        <v>670</v>
      </c>
      <c r="H318" s="32" t="b">
        <v>1</v>
      </c>
    </row>
    <row r="319" spans="1:8">
      <c r="A319" s="32" t="s">
        <v>360</v>
      </c>
      <c r="B319" s="32" t="s">
        <v>584</v>
      </c>
      <c r="C319" s="32" t="s">
        <v>667</v>
      </c>
      <c r="D319" s="32">
        <v>1155</v>
      </c>
      <c r="E319" s="32">
        <v>1130</v>
      </c>
      <c r="F319" s="45">
        <v>-2.1999999999999999E-2</v>
      </c>
      <c r="G319" s="32" t="s">
        <v>670</v>
      </c>
      <c r="H319" s="32" t="b">
        <v>1</v>
      </c>
    </row>
    <row r="320" spans="1:8">
      <c r="A320" s="32" t="s">
        <v>361</v>
      </c>
      <c r="B320" s="32" t="s">
        <v>584</v>
      </c>
      <c r="C320" s="32" t="s">
        <v>667</v>
      </c>
      <c r="D320" s="32">
        <v>41</v>
      </c>
      <c r="E320" s="32">
        <v>121</v>
      </c>
      <c r="F320" s="45">
        <v>1.9510000000000001</v>
      </c>
      <c r="G320" s="32" t="s">
        <v>669</v>
      </c>
      <c r="H320" s="32" t="b">
        <v>0</v>
      </c>
    </row>
    <row r="321" spans="1:8">
      <c r="A321" s="32" t="s">
        <v>362</v>
      </c>
      <c r="B321" s="32" t="s">
        <v>584</v>
      </c>
      <c r="C321" s="32" t="s">
        <v>667</v>
      </c>
      <c r="D321" s="32">
        <v>1013</v>
      </c>
      <c r="E321" s="32">
        <v>1015</v>
      </c>
      <c r="F321" s="45">
        <v>2E-3</v>
      </c>
      <c r="G321" s="32" t="s">
        <v>669</v>
      </c>
      <c r="H321" s="32" t="b">
        <v>0</v>
      </c>
    </row>
    <row r="322" spans="1:8">
      <c r="A322" s="32" t="s">
        <v>363</v>
      </c>
      <c r="B322" s="32" t="s">
        <v>584</v>
      </c>
      <c r="C322" s="32" t="s">
        <v>667</v>
      </c>
      <c r="D322" s="32">
        <v>1791</v>
      </c>
      <c r="E322" s="32">
        <v>1780</v>
      </c>
      <c r="F322" s="45">
        <v>-6.0000000000000001E-3</v>
      </c>
      <c r="G322" s="32" t="s">
        <v>670</v>
      </c>
      <c r="H322" s="32" t="b">
        <v>0</v>
      </c>
    </row>
    <row r="323" spans="1:8">
      <c r="A323" s="32" t="s">
        <v>364</v>
      </c>
      <c r="B323" s="32" t="s">
        <v>584</v>
      </c>
      <c r="C323" s="32" t="s">
        <v>667</v>
      </c>
      <c r="D323" s="32">
        <v>69</v>
      </c>
      <c r="E323" s="32">
        <v>14</v>
      </c>
      <c r="F323" s="45">
        <v>-0.79700000000000004</v>
      </c>
      <c r="G323" s="32" t="s">
        <v>668</v>
      </c>
      <c r="H323" s="32" t="b">
        <v>1</v>
      </c>
    </row>
    <row r="324" spans="1:8">
      <c r="A324" s="32" t="s">
        <v>365</v>
      </c>
      <c r="B324" s="32" t="s">
        <v>584</v>
      </c>
      <c r="C324" s="32" t="s">
        <v>667</v>
      </c>
      <c r="D324" s="32">
        <v>154</v>
      </c>
      <c r="E324" s="32">
        <v>0</v>
      </c>
      <c r="F324" s="45">
        <v>-1</v>
      </c>
      <c r="G324" s="32" t="s">
        <v>668</v>
      </c>
      <c r="H324" s="32" t="b">
        <v>1</v>
      </c>
    </row>
    <row r="325" spans="1:8">
      <c r="A325" s="32" t="s">
        <v>619</v>
      </c>
      <c r="B325" s="32" t="s">
        <v>584</v>
      </c>
      <c r="C325" s="32" t="s">
        <v>667</v>
      </c>
      <c r="D325" s="32">
        <v>379</v>
      </c>
      <c r="E325" s="32">
        <v>330</v>
      </c>
      <c r="F325" s="45">
        <v>-0.129</v>
      </c>
      <c r="G325" s="32" t="s">
        <v>668</v>
      </c>
      <c r="H325" s="32" t="b">
        <v>1</v>
      </c>
    </row>
    <row r="326" spans="1:8">
      <c r="A326" s="32" t="s">
        <v>367</v>
      </c>
      <c r="B326" s="32" t="s">
        <v>584</v>
      </c>
      <c r="C326" s="32" t="s">
        <v>667</v>
      </c>
      <c r="D326" s="32">
        <v>2031</v>
      </c>
      <c r="E326" s="32">
        <v>1960</v>
      </c>
      <c r="F326" s="45">
        <v>-3.5000000000000003E-2</v>
      </c>
      <c r="G326" s="32" t="s">
        <v>670</v>
      </c>
      <c r="H326" s="32" t="b">
        <v>1</v>
      </c>
    </row>
    <row r="327" spans="1:8">
      <c r="A327" s="32" t="s">
        <v>368</v>
      </c>
      <c r="B327" s="32" t="s">
        <v>584</v>
      </c>
      <c r="C327" s="32" t="s">
        <v>667</v>
      </c>
      <c r="D327" s="32">
        <v>930</v>
      </c>
      <c r="E327" s="32">
        <v>941</v>
      </c>
      <c r="F327" s="45">
        <v>1.2E-2</v>
      </c>
      <c r="G327" s="32" t="s">
        <v>669</v>
      </c>
      <c r="H327" s="32" t="b">
        <v>0</v>
      </c>
    </row>
    <row r="328" spans="1:8">
      <c r="A328" s="32" t="s">
        <v>369</v>
      </c>
      <c r="B328" s="32" t="s">
        <v>584</v>
      </c>
      <c r="C328" s="32" t="s">
        <v>667</v>
      </c>
      <c r="D328" s="32">
        <v>1515</v>
      </c>
      <c r="E328" s="32">
        <v>1507</v>
      </c>
      <c r="F328" s="45">
        <v>-5.0000000000000001E-3</v>
      </c>
      <c r="G328" s="32" t="s">
        <v>670</v>
      </c>
      <c r="H328" s="32" t="b">
        <v>0</v>
      </c>
    </row>
    <row r="329" spans="1:8">
      <c r="A329" s="32" t="s">
        <v>370</v>
      </c>
      <c r="B329" s="32" t="s">
        <v>584</v>
      </c>
      <c r="C329" s="32" t="s">
        <v>667</v>
      </c>
      <c r="D329" s="32">
        <v>692</v>
      </c>
      <c r="E329" s="32">
        <v>745</v>
      </c>
      <c r="F329" s="45">
        <v>7.6999999999999999E-2</v>
      </c>
      <c r="G329" s="32" t="s">
        <v>669</v>
      </c>
      <c r="H329" s="32" t="b">
        <v>0</v>
      </c>
    </row>
    <row r="330" spans="1:8">
      <c r="A330" s="32" t="s">
        <v>371</v>
      </c>
      <c r="B330" s="32" t="s">
        <v>584</v>
      </c>
      <c r="C330" s="32" t="s">
        <v>667</v>
      </c>
      <c r="D330" s="32">
        <v>468</v>
      </c>
      <c r="E330" s="32">
        <v>470</v>
      </c>
      <c r="F330" s="45">
        <v>4.0000000000000001E-3</v>
      </c>
      <c r="G330" s="32" t="s">
        <v>669</v>
      </c>
      <c r="H330" s="32" t="b">
        <v>0</v>
      </c>
    </row>
    <row r="331" spans="1:8">
      <c r="A331" s="32" t="s">
        <v>372</v>
      </c>
      <c r="B331" s="32" t="s">
        <v>584</v>
      </c>
      <c r="C331" s="32" t="s">
        <v>667</v>
      </c>
      <c r="D331" s="32">
        <v>265</v>
      </c>
      <c r="E331" s="32">
        <v>269</v>
      </c>
      <c r="F331" s="45">
        <v>1.4999999999999999E-2</v>
      </c>
      <c r="G331" s="32" t="s">
        <v>669</v>
      </c>
      <c r="H331" s="32" t="b">
        <v>0</v>
      </c>
    </row>
    <row r="332" spans="1:8">
      <c r="A332" s="32" t="s">
        <v>114</v>
      </c>
      <c r="B332" s="32" t="s">
        <v>584</v>
      </c>
      <c r="C332" s="32" t="s">
        <v>667</v>
      </c>
      <c r="D332" s="32">
        <v>1380</v>
      </c>
      <c r="E332" s="32">
        <v>1367</v>
      </c>
      <c r="F332" s="45">
        <v>-8.9999999999999993E-3</v>
      </c>
      <c r="G332" s="32" t="s">
        <v>670</v>
      </c>
      <c r="H332" s="32" t="b">
        <v>0</v>
      </c>
    </row>
    <row r="333" spans="1:8">
      <c r="A333" s="32" t="s">
        <v>373</v>
      </c>
      <c r="B333" s="32" t="s">
        <v>584</v>
      </c>
      <c r="C333" s="32" t="s">
        <v>667</v>
      </c>
      <c r="D333" s="32">
        <v>930</v>
      </c>
      <c r="E333" s="32">
        <v>956</v>
      </c>
      <c r="F333" s="45">
        <v>2.8000000000000001E-2</v>
      </c>
      <c r="G333" s="32" t="s">
        <v>669</v>
      </c>
      <c r="H333" s="32" t="b">
        <v>0</v>
      </c>
    </row>
    <row r="334" spans="1:8">
      <c r="A334" s="32" t="s">
        <v>374</v>
      </c>
      <c r="B334" s="32" t="s">
        <v>584</v>
      </c>
      <c r="C334" s="32" t="s">
        <v>667</v>
      </c>
      <c r="D334" s="32">
        <v>1167</v>
      </c>
      <c r="E334" s="32">
        <v>1147</v>
      </c>
      <c r="F334" s="45">
        <v>-1.7000000000000001E-2</v>
      </c>
      <c r="G334" s="32" t="s">
        <v>670</v>
      </c>
      <c r="H334" s="32" t="b">
        <v>1</v>
      </c>
    </row>
    <row r="335" spans="1:8">
      <c r="A335" s="32" t="s">
        <v>375</v>
      </c>
      <c r="B335" s="32" t="s">
        <v>584</v>
      </c>
      <c r="C335" s="32" t="s">
        <v>667</v>
      </c>
      <c r="D335" s="32">
        <v>389</v>
      </c>
      <c r="E335" s="32">
        <v>398</v>
      </c>
      <c r="F335" s="45">
        <v>2.3E-2</v>
      </c>
      <c r="G335" s="32" t="s">
        <v>669</v>
      </c>
      <c r="H335" s="32" t="b">
        <v>0</v>
      </c>
    </row>
    <row r="336" spans="1:8">
      <c r="A336" s="32" t="s">
        <v>620</v>
      </c>
      <c r="B336" s="32" t="s">
        <v>584</v>
      </c>
      <c r="C336" s="32" t="s">
        <v>667</v>
      </c>
      <c r="D336" s="32">
        <v>128</v>
      </c>
      <c r="E336" s="32">
        <v>133</v>
      </c>
      <c r="F336" s="45">
        <v>3.9E-2</v>
      </c>
      <c r="G336" s="32" t="s">
        <v>669</v>
      </c>
      <c r="H336" s="32" t="b">
        <v>0</v>
      </c>
    </row>
    <row r="337" spans="1:8">
      <c r="A337" s="32" t="s">
        <v>377</v>
      </c>
      <c r="B337" s="32" t="s">
        <v>584</v>
      </c>
      <c r="C337" s="32" t="s">
        <v>667</v>
      </c>
      <c r="D337" s="32">
        <v>1949</v>
      </c>
      <c r="E337" s="32">
        <v>1859</v>
      </c>
      <c r="F337" s="45">
        <v>-4.5999999999999999E-2</v>
      </c>
      <c r="G337" s="32" t="s">
        <v>670</v>
      </c>
      <c r="H337" s="32" t="b">
        <v>1</v>
      </c>
    </row>
    <row r="338" spans="1:8">
      <c r="A338" s="32" t="s">
        <v>378</v>
      </c>
      <c r="B338" s="32" t="s">
        <v>584</v>
      </c>
      <c r="C338" s="32" t="s">
        <v>667</v>
      </c>
      <c r="D338" s="32">
        <v>2195</v>
      </c>
      <c r="E338" s="32">
        <v>2017</v>
      </c>
      <c r="F338" s="45">
        <v>-8.1000000000000003E-2</v>
      </c>
      <c r="G338" s="32" t="s">
        <v>668</v>
      </c>
      <c r="H338" s="32" t="b">
        <v>1</v>
      </c>
    </row>
    <row r="339" spans="1:8">
      <c r="A339" s="32" t="s">
        <v>379</v>
      </c>
      <c r="B339" s="32" t="s">
        <v>588</v>
      </c>
      <c r="C339" s="32" t="s">
        <v>667</v>
      </c>
      <c r="D339" s="32">
        <v>417</v>
      </c>
      <c r="E339" s="32">
        <v>328</v>
      </c>
      <c r="F339" s="45">
        <v>-0.21299999999999999</v>
      </c>
      <c r="G339" s="32" t="s">
        <v>668</v>
      </c>
      <c r="H339" s="32" t="b">
        <v>1</v>
      </c>
    </row>
    <row r="340" spans="1:8">
      <c r="A340" s="32" t="s">
        <v>380</v>
      </c>
      <c r="B340" s="32" t="s">
        <v>588</v>
      </c>
      <c r="C340" s="32" t="s">
        <v>667</v>
      </c>
      <c r="D340" s="32">
        <v>536</v>
      </c>
      <c r="E340" s="32">
        <v>508</v>
      </c>
      <c r="F340" s="45">
        <v>-5.1999999999999998E-2</v>
      </c>
      <c r="G340" s="32" t="s">
        <v>668</v>
      </c>
      <c r="H340" s="32" t="b">
        <v>1</v>
      </c>
    </row>
    <row r="341" spans="1:8">
      <c r="A341" s="32" t="s">
        <v>381</v>
      </c>
      <c r="B341" s="32" t="s">
        <v>588</v>
      </c>
      <c r="C341" s="32" t="s">
        <v>667</v>
      </c>
      <c r="D341" s="32">
        <v>678</v>
      </c>
      <c r="E341" s="32">
        <v>719</v>
      </c>
      <c r="F341" s="45">
        <v>0.06</v>
      </c>
      <c r="G341" s="32" t="s">
        <v>669</v>
      </c>
      <c r="H341" s="32" t="b">
        <v>0</v>
      </c>
    </row>
    <row r="342" spans="1:8">
      <c r="A342" s="32" t="s">
        <v>382</v>
      </c>
      <c r="B342" s="32" t="s">
        <v>588</v>
      </c>
      <c r="C342" s="32" t="s">
        <v>667</v>
      </c>
      <c r="D342" s="32">
        <v>1540</v>
      </c>
      <c r="E342" s="32">
        <v>1554</v>
      </c>
      <c r="F342" s="45">
        <v>8.9999999999999993E-3</v>
      </c>
      <c r="G342" s="32" t="s">
        <v>669</v>
      </c>
      <c r="H342" s="32" t="b">
        <v>0</v>
      </c>
    </row>
    <row r="343" spans="1:8">
      <c r="A343" s="32" t="s">
        <v>68</v>
      </c>
      <c r="B343" s="32" t="s">
        <v>588</v>
      </c>
      <c r="C343" s="32" t="s">
        <v>667</v>
      </c>
      <c r="D343" s="32">
        <v>1492</v>
      </c>
      <c r="E343" s="32">
        <v>1488</v>
      </c>
      <c r="F343" s="45">
        <v>-3.0000000000000001E-3</v>
      </c>
      <c r="G343" s="32" t="s">
        <v>670</v>
      </c>
      <c r="H343" s="32" t="b">
        <v>0</v>
      </c>
    </row>
    <row r="344" spans="1:8">
      <c r="A344" s="32" t="s">
        <v>383</v>
      </c>
      <c r="B344" s="32" t="s">
        <v>588</v>
      </c>
      <c r="C344" s="32" t="s">
        <v>667</v>
      </c>
      <c r="D344" s="32">
        <v>626</v>
      </c>
      <c r="E344" s="32">
        <v>621</v>
      </c>
      <c r="F344" s="45">
        <v>-8.0000000000000002E-3</v>
      </c>
      <c r="G344" s="32" t="s">
        <v>670</v>
      </c>
      <c r="H344" s="32" t="b">
        <v>0</v>
      </c>
    </row>
    <row r="345" spans="1:8">
      <c r="A345" s="32" t="s">
        <v>274</v>
      </c>
      <c r="B345" s="32" t="s">
        <v>588</v>
      </c>
      <c r="C345" s="32" t="s">
        <v>667</v>
      </c>
      <c r="D345" s="32">
        <v>1403</v>
      </c>
      <c r="E345" s="32">
        <v>1433</v>
      </c>
      <c r="F345" s="45">
        <v>2.1000000000000001E-2</v>
      </c>
      <c r="G345" s="32" t="s">
        <v>669</v>
      </c>
      <c r="H345" s="32" t="b">
        <v>0</v>
      </c>
    </row>
    <row r="346" spans="1:8">
      <c r="A346" s="32" t="s">
        <v>384</v>
      </c>
      <c r="B346" s="32" t="s">
        <v>588</v>
      </c>
      <c r="C346" s="32" t="s">
        <v>667</v>
      </c>
      <c r="D346" s="32">
        <v>816</v>
      </c>
      <c r="E346" s="32">
        <v>766</v>
      </c>
      <c r="F346" s="45">
        <v>-6.0999999999999999E-2</v>
      </c>
      <c r="G346" s="32" t="s">
        <v>668</v>
      </c>
      <c r="H346" s="32" t="b">
        <v>1</v>
      </c>
    </row>
    <row r="347" spans="1:8">
      <c r="A347" s="32" t="s">
        <v>385</v>
      </c>
      <c r="B347" s="32" t="s">
        <v>588</v>
      </c>
      <c r="C347" s="32" t="s">
        <v>667</v>
      </c>
      <c r="D347" s="32">
        <v>1626</v>
      </c>
      <c r="E347" s="32">
        <v>1370</v>
      </c>
      <c r="F347" s="45">
        <v>-0.157</v>
      </c>
      <c r="G347" s="32" t="s">
        <v>668</v>
      </c>
      <c r="H347" s="32" t="b">
        <v>1</v>
      </c>
    </row>
    <row r="348" spans="1:8">
      <c r="A348" s="32" t="s">
        <v>386</v>
      </c>
      <c r="B348" s="32" t="s">
        <v>588</v>
      </c>
      <c r="C348" s="32" t="s">
        <v>667</v>
      </c>
      <c r="D348" s="32">
        <v>18</v>
      </c>
      <c r="E348" s="32">
        <v>0</v>
      </c>
      <c r="F348" s="45">
        <v>-1</v>
      </c>
      <c r="G348" s="32" t="s">
        <v>668</v>
      </c>
      <c r="H348" s="32" t="b">
        <v>1</v>
      </c>
    </row>
    <row r="349" spans="1:8">
      <c r="A349" s="32" t="s">
        <v>387</v>
      </c>
      <c r="B349" s="32" t="s">
        <v>588</v>
      </c>
      <c r="C349" s="32" t="s">
        <v>667</v>
      </c>
      <c r="D349" s="32">
        <v>2569</v>
      </c>
      <c r="E349" s="32">
        <v>2570</v>
      </c>
      <c r="F349" s="45">
        <v>0</v>
      </c>
      <c r="G349" s="32" t="s">
        <v>669</v>
      </c>
      <c r="H349" s="32" t="b">
        <v>0</v>
      </c>
    </row>
    <row r="350" spans="1:8">
      <c r="A350" s="32" t="s">
        <v>83</v>
      </c>
      <c r="B350" s="32" t="s">
        <v>588</v>
      </c>
      <c r="C350" s="32" t="s">
        <v>667</v>
      </c>
      <c r="D350" s="32">
        <v>1200</v>
      </c>
      <c r="E350" s="32">
        <v>1199</v>
      </c>
      <c r="F350" s="45">
        <v>-1E-3</v>
      </c>
      <c r="G350" s="32" t="s">
        <v>670</v>
      </c>
      <c r="H350" s="32" t="b">
        <v>0</v>
      </c>
    </row>
    <row r="351" spans="1:8">
      <c r="A351" s="32" t="s">
        <v>388</v>
      </c>
      <c r="B351" s="32" t="s">
        <v>588</v>
      </c>
      <c r="C351" s="32" t="s">
        <v>667</v>
      </c>
      <c r="D351" s="32">
        <v>674</v>
      </c>
      <c r="E351" s="32">
        <v>683</v>
      </c>
      <c r="F351" s="45">
        <v>1.2999999999999999E-2</v>
      </c>
      <c r="G351" s="32" t="s">
        <v>669</v>
      </c>
      <c r="H351" s="32" t="b">
        <v>0</v>
      </c>
    </row>
    <row r="352" spans="1:8">
      <c r="A352" s="32" t="s">
        <v>389</v>
      </c>
      <c r="B352" s="32" t="s">
        <v>588</v>
      </c>
      <c r="C352" s="32" t="s">
        <v>667</v>
      </c>
      <c r="D352" s="32">
        <v>2252</v>
      </c>
      <c r="E352" s="32">
        <v>2265</v>
      </c>
      <c r="F352" s="45">
        <v>6.0000000000000001E-3</v>
      </c>
      <c r="G352" s="32" t="s">
        <v>669</v>
      </c>
      <c r="H352" s="32" t="b">
        <v>0</v>
      </c>
    </row>
    <row r="353" spans="1:8">
      <c r="A353" s="32" t="s">
        <v>390</v>
      </c>
      <c r="B353" s="32" t="s">
        <v>588</v>
      </c>
      <c r="C353" s="32" t="s">
        <v>667</v>
      </c>
      <c r="D353" s="32">
        <v>864</v>
      </c>
      <c r="E353" s="32">
        <v>862</v>
      </c>
      <c r="F353" s="45">
        <v>-2E-3</v>
      </c>
      <c r="G353" s="32" t="s">
        <v>670</v>
      </c>
      <c r="H353" s="32" t="b">
        <v>0</v>
      </c>
    </row>
    <row r="354" spans="1:8">
      <c r="A354" s="32" t="s">
        <v>391</v>
      </c>
      <c r="B354" s="32" t="s">
        <v>588</v>
      </c>
      <c r="C354" s="32" t="s">
        <v>667</v>
      </c>
      <c r="D354" s="32">
        <v>871</v>
      </c>
      <c r="E354" s="32">
        <v>478</v>
      </c>
      <c r="F354" s="45">
        <v>-0.45100000000000001</v>
      </c>
      <c r="G354" s="32" t="s">
        <v>668</v>
      </c>
      <c r="H354" s="32" t="b">
        <v>1</v>
      </c>
    </row>
    <row r="355" spans="1:8">
      <c r="A355" s="32" t="s">
        <v>392</v>
      </c>
      <c r="B355" s="32" t="s">
        <v>588</v>
      </c>
      <c r="C355" s="32" t="s">
        <v>667</v>
      </c>
      <c r="D355" s="32">
        <v>1913</v>
      </c>
      <c r="E355" s="32">
        <v>1925</v>
      </c>
      <c r="F355" s="45">
        <v>6.0000000000000001E-3</v>
      </c>
      <c r="G355" s="32" t="s">
        <v>669</v>
      </c>
      <c r="H355" s="32" t="b">
        <v>0</v>
      </c>
    </row>
    <row r="356" spans="1:8">
      <c r="A356" s="32" t="s">
        <v>378</v>
      </c>
      <c r="B356" s="32" t="s">
        <v>588</v>
      </c>
      <c r="C356" s="32" t="s">
        <v>667</v>
      </c>
      <c r="D356" s="32">
        <v>1092</v>
      </c>
      <c r="E356" s="32">
        <v>1075</v>
      </c>
      <c r="F356" s="45">
        <v>-1.6E-2</v>
      </c>
      <c r="G356" s="32" t="s">
        <v>670</v>
      </c>
      <c r="H356" s="32" t="b">
        <v>1</v>
      </c>
    </row>
    <row r="357" spans="1:8">
      <c r="A357" s="32" t="s">
        <v>393</v>
      </c>
      <c r="B357" s="32" t="s">
        <v>588</v>
      </c>
      <c r="C357" s="32" t="s">
        <v>667</v>
      </c>
      <c r="D357" s="32">
        <v>1494</v>
      </c>
      <c r="E357" s="32">
        <v>1525</v>
      </c>
      <c r="F357" s="45">
        <v>2.1000000000000001E-2</v>
      </c>
      <c r="G357" s="32" t="s">
        <v>669</v>
      </c>
      <c r="H357" s="32" t="b">
        <v>0</v>
      </c>
    </row>
    <row r="358" spans="1:8">
      <c r="A358" s="32" t="s">
        <v>394</v>
      </c>
      <c r="B358" s="32" t="s">
        <v>588</v>
      </c>
      <c r="C358" s="32" t="s">
        <v>667</v>
      </c>
      <c r="D358" s="32">
        <v>864</v>
      </c>
      <c r="E358" s="32">
        <v>883</v>
      </c>
      <c r="F358" s="45">
        <v>2.1999999999999999E-2</v>
      </c>
      <c r="G358" s="32" t="s">
        <v>669</v>
      </c>
      <c r="H358" s="32" t="b">
        <v>0</v>
      </c>
    </row>
    <row r="359" spans="1:8">
      <c r="A359" s="32" t="s">
        <v>395</v>
      </c>
      <c r="B359" s="32" t="s">
        <v>588</v>
      </c>
      <c r="C359" s="32" t="s">
        <v>667</v>
      </c>
      <c r="D359" s="32">
        <v>1374</v>
      </c>
      <c r="E359" s="32">
        <v>1408</v>
      </c>
      <c r="F359" s="45">
        <v>2.5000000000000001E-2</v>
      </c>
      <c r="G359" s="32" t="s">
        <v>669</v>
      </c>
      <c r="H359" s="32" t="b">
        <v>0</v>
      </c>
    </row>
    <row r="360" spans="1:8">
      <c r="A360" s="32" t="s">
        <v>396</v>
      </c>
      <c r="B360" s="32" t="s">
        <v>592</v>
      </c>
      <c r="C360" s="32" t="s">
        <v>667</v>
      </c>
      <c r="D360" s="32">
        <v>939</v>
      </c>
      <c r="E360" s="32">
        <v>954</v>
      </c>
      <c r="F360" s="45">
        <v>1.6E-2</v>
      </c>
      <c r="G360" s="32" t="s">
        <v>669</v>
      </c>
      <c r="H360" s="32" t="b">
        <v>0</v>
      </c>
    </row>
    <row r="361" spans="1:8">
      <c r="A361" s="32" t="s">
        <v>397</v>
      </c>
      <c r="B361" s="32" t="s">
        <v>592</v>
      </c>
      <c r="C361" s="32" t="s">
        <v>667</v>
      </c>
      <c r="D361" s="32">
        <v>265</v>
      </c>
      <c r="E361" s="32">
        <v>257</v>
      </c>
      <c r="F361" s="45">
        <v>-0.03</v>
      </c>
      <c r="G361" s="32" t="s">
        <v>670</v>
      </c>
      <c r="H361" s="32" t="b">
        <v>1</v>
      </c>
    </row>
    <row r="362" spans="1:8">
      <c r="A362" s="32" t="s">
        <v>398</v>
      </c>
      <c r="B362" s="32" t="s">
        <v>584</v>
      </c>
      <c r="C362" s="32" t="s">
        <v>667</v>
      </c>
      <c r="D362" s="32">
        <v>2521</v>
      </c>
      <c r="E362" s="32">
        <v>2449</v>
      </c>
      <c r="F362" s="45">
        <v>-2.9000000000000001E-2</v>
      </c>
      <c r="G362" s="32" t="s">
        <v>670</v>
      </c>
      <c r="H362" s="32" t="b">
        <v>1</v>
      </c>
    </row>
    <row r="363" spans="1:8">
      <c r="A363" s="32" t="s">
        <v>399</v>
      </c>
      <c r="B363" s="32" t="s">
        <v>584</v>
      </c>
      <c r="C363" s="32" t="s">
        <v>667</v>
      </c>
      <c r="D363" s="32">
        <v>3037</v>
      </c>
      <c r="E363" s="32">
        <v>3157</v>
      </c>
      <c r="F363" s="45">
        <v>0.04</v>
      </c>
      <c r="G363" s="32" t="s">
        <v>669</v>
      </c>
      <c r="H363" s="32" t="b">
        <v>0</v>
      </c>
    </row>
    <row r="364" spans="1:8">
      <c r="A364" s="32" t="s">
        <v>400</v>
      </c>
      <c r="B364" s="32" t="s">
        <v>584</v>
      </c>
      <c r="C364" s="32" t="s">
        <v>667</v>
      </c>
      <c r="D364" s="32">
        <v>843</v>
      </c>
      <c r="E364" s="32">
        <v>369</v>
      </c>
      <c r="F364" s="45">
        <v>-0.56200000000000006</v>
      </c>
      <c r="G364" s="32" t="s">
        <v>668</v>
      </c>
      <c r="H364" s="32" t="b">
        <v>1</v>
      </c>
    </row>
    <row r="365" spans="1:8">
      <c r="A365" s="32" t="s">
        <v>401</v>
      </c>
      <c r="B365" s="32" t="s">
        <v>584</v>
      </c>
      <c r="C365" s="32" t="s">
        <v>667</v>
      </c>
      <c r="D365" s="32">
        <v>1568</v>
      </c>
      <c r="E365" s="32">
        <v>1357</v>
      </c>
      <c r="F365" s="45">
        <v>-0.13500000000000001</v>
      </c>
      <c r="G365" s="32" t="s">
        <v>668</v>
      </c>
      <c r="H365" s="32" t="b">
        <v>1</v>
      </c>
    </row>
    <row r="366" spans="1:8">
      <c r="A366" s="32" t="s">
        <v>403</v>
      </c>
      <c r="B366" s="32" t="s">
        <v>584</v>
      </c>
      <c r="C366" s="32" t="s">
        <v>667</v>
      </c>
      <c r="D366" s="32">
        <v>1100</v>
      </c>
      <c r="E366" s="32">
        <v>1152</v>
      </c>
      <c r="F366" s="45">
        <v>4.7E-2</v>
      </c>
      <c r="G366" s="32" t="s">
        <v>669</v>
      </c>
      <c r="H366" s="32" t="b">
        <v>0</v>
      </c>
    </row>
    <row r="367" spans="1:8">
      <c r="A367" s="32" t="s">
        <v>404</v>
      </c>
      <c r="B367" s="32" t="s">
        <v>584</v>
      </c>
      <c r="C367" s="32" t="s">
        <v>667</v>
      </c>
      <c r="D367" s="32">
        <v>211</v>
      </c>
      <c r="E367" s="32">
        <v>0</v>
      </c>
      <c r="F367" s="45">
        <v>-1</v>
      </c>
      <c r="G367" s="32" t="s">
        <v>668</v>
      </c>
      <c r="H367" s="32" t="b">
        <v>1</v>
      </c>
    </row>
    <row r="368" spans="1:8">
      <c r="A368" s="32" t="s">
        <v>405</v>
      </c>
      <c r="B368" s="32" t="s">
        <v>584</v>
      </c>
      <c r="C368" s="32" t="s">
        <v>667</v>
      </c>
      <c r="D368" s="32">
        <v>1342</v>
      </c>
      <c r="E368" s="32">
        <v>1029</v>
      </c>
      <c r="F368" s="45">
        <v>-0.23300000000000001</v>
      </c>
      <c r="G368" s="32" t="s">
        <v>668</v>
      </c>
      <c r="H368" s="32" t="b">
        <v>1</v>
      </c>
    </row>
    <row r="369" spans="1:8">
      <c r="A369" s="32" t="s">
        <v>406</v>
      </c>
      <c r="B369" s="32" t="s">
        <v>584</v>
      </c>
      <c r="C369" s="32" t="s">
        <v>667</v>
      </c>
      <c r="D369" s="32">
        <v>617</v>
      </c>
      <c r="E369" s="32">
        <v>499</v>
      </c>
      <c r="F369" s="45">
        <v>-0.191</v>
      </c>
      <c r="G369" s="32" t="s">
        <v>668</v>
      </c>
      <c r="H369" s="32" t="b">
        <v>1</v>
      </c>
    </row>
    <row r="370" spans="1:8">
      <c r="A370" s="32" t="s">
        <v>407</v>
      </c>
      <c r="B370" s="32" t="s">
        <v>584</v>
      </c>
      <c r="C370" s="32" t="s">
        <v>667</v>
      </c>
      <c r="D370" s="32">
        <v>5530</v>
      </c>
      <c r="E370" s="32">
        <v>5733</v>
      </c>
      <c r="F370" s="45">
        <v>3.6999999999999998E-2</v>
      </c>
      <c r="G370" s="32" t="s">
        <v>669</v>
      </c>
      <c r="H370" s="32" t="b">
        <v>0</v>
      </c>
    </row>
    <row r="371" spans="1:8">
      <c r="A371" s="32" t="s">
        <v>408</v>
      </c>
      <c r="B371" s="32" t="s">
        <v>584</v>
      </c>
      <c r="C371" s="32" t="s">
        <v>667</v>
      </c>
      <c r="D371" s="32">
        <v>101</v>
      </c>
      <c r="E371" s="32">
        <v>106</v>
      </c>
      <c r="F371" s="45">
        <v>0.05</v>
      </c>
      <c r="G371" s="32" t="s">
        <v>669</v>
      </c>
      <c r="H371" s="32" t="b">
        <v>0</v>
      </c>
    </row>
    <row r="372" spans="1:8">
      <c r="A372" s="32" t="s">
        <v>409</v>
      </c>
      <c r="B372" s="32" t="s">
        <v>584</v>
      </c>
      <c r="C372" s="32" t="s">
        <v>667</v>
      </c>
      <c r="D372" s="32">
        <v>938</v>
      </c>
      <c r="E372" s="32">
        <v>877</v>
      </c>
      <c r="F372" s="45">
        <v>-6.5000000000000002E-2</v>
      </c>
      <c r="G372" s="32" t="s">
        <v>668</v>
      </c>
      <c r="H372" s="32" t="b">
        <v>1</v>
      </c>
    </row>
    <row r="373" spans="1:8">
      <c r="A373" s="32" t="s">
        <v>410</v>
      </c>
      <c r="B373" s="32" t="s">
        <v>584</v>
      </c>
      <c r="C373" s="32" t="s">
        <v>667</v>
      </c>
      <c r="D373" s="32">
        <v>2223</v>
      </c>
      <c r="E373" s="32">
        <v>2131</v>
      </c>
      <c r="F373" s="45">
        <v>-4.1000000000000002E-2</v>
      </c>
      <c r="G373" s="32" t="s">
        <v>670</v>
      </c>
      <c r="H373" s="32" t="b">
        <v>1</v>
      </c>
    </row>
    <row r="374" spans="1:8">
      <c r="A374" s="32" t="s">
        <v>411</v>
      </c>
      <c r="B374" s="32" t="s">
        <v>584</v>
      </c>
      <c r="C374" s="32" t="s">
        <v>667</v>
      </c>
      <c r="D374" s="32">
        <v>2568</v>
      </c>
      <c r="E374" s="32">
        <v>2551</v>
      </c>
      <c r="F374" s="45">
        <v>-7.0000000000000001E-3</v>
      </c>
      <c r="G374" s="32" t="s">
        <v>670</v>
      </c>
      <c r="H374" s="32" t="b">
        <v>0</v>
      </c>
    </row>
    <row r="375" spans="1:8">
      <c r="A375" s="32" t="s">
        <v>412</v>
      </c>
      <c r="B375" s="32" t="s">
        <v>584</v>
      </c>
      <c r="C375" s="32" t="s">
        <v>667</v>
      </c>
      <c r="D375" s="32">
        <v>2283</v>
      </c>
      <c r="E375" s="32">
        <v>1975</v>
      </c>
      <c r="F375" s="45">
        <v>-0.13500000000000001</v>
      </c>
      <c r="G375" s="32" t="s">
        <v>668</v>
      </c>
      <c r="H375" s="32" t="b">
        <v>1</v>
      </c>
    </row>
    <row r="376" spans="1:8">
      <c r="A376" s="32" t="s">
        <v>413</v>
      </c>
      <c r="B376" s="32" t="s">
        <v>584</v>
      </c>
      <c r="C376" s="32" t="s">
        <v>667</v>
      </c>
      <c r="D376" s="32">
        <v>1860</v>
      </c>
      <c r="E376" s="32">
        <v>1822</v>
      </c>
      <c r="F376" s="45">
        <v>-0.02</v>
      </c>
      <c r="G376" s="32" t="s">
        <v>670</v>
      </c>
      <c r="H376" s="32" t="b">
        <v>1</v>
      </c>
    </row>
    <row r="377" spans="1:8">
      <c r="A377" s="32" t="s">
        <v>414</v>
      </c>
      <c r="B377" s="32" t="s">
        <v>584</v>
      </c>
      <c r="C377" s="32" t="s">
        <v>667</v>
      </c>
      <c r="D377" s="32">
        <v>447</v>
      </c>
      <c r="E377" s="32">
        <v>434</v>
      </c>
      <c r="F377" s="45">
        <v>-2.9000000000000001E-2</v>
      </c>
      <c r="G377" s="32" t="s">
        <v>670</v>
      </c>
      <c r="H377" s="32" t="b">
        <v>1</v>
      </c>
    </row>
    <row r="378" spans="1:8">
      <c r="A378" s="32" t="s">
        <v>415</v>
      </c>
      <c r="B378" s="32" t="s">
        <v>584</v>
      </c>
      <c r="C378" s="32" t="s">
        <v>667</v>
      </c>
      <c r="D378" s="32">
        <v>1493</v>
      </c>
      <c r="E378" s="32">
        <v>1425</v>
      </c>
      <c r="F378" s="45">
        <v>-4.5999999999999999E-2</v>
      </c>
      <c r="G378" s="32" t="s">
        <v>670</v>
      </c>
      <c r="H378" s="32" t="b">
        <v>1</v>
      </c>
    </row>
    <row r="379" spans="1:8">
      <c r="A379" s="32" t="s">
        <v>416</v>
      </c>
      <c r="B379" s="32" t="s">
        <v>584</v>
      </c>
      <c r="C379" s="32" t="s">
        <v>667</v>
      </c>
      <c r="D379" s="32">
        <v>1333</v>
      </c>
      <c r="E379" s="32">
        <v>1219</v>
      </c>
      <c r="F379" s="45">
        <v>-8.5999999999999993E-2</v>
      </c>
      <c r="G379" s="32" t="s">
        <v>668</v>
      </c>
      <c r="H379" s="32" t="b">
        <v>1</v>
      </c>
    </row>
    <row r="380" spans="1:8">
      <c r="A380" s="32" t="s">
        <v>417</v>
      </c>
      <c r="B380" s="32" t="s">
        <v>584</v>
      </c>
      <c r="C380" s="32" t="s">
        <v>667</v>
      </c>
      <c r="D380" s="32">
        <v>415</v>
      </c>
      <c r="E380" s="32">
        <v>330</v>
      </c>
      <c r="F380" s="45">
        <v>-0.20499999999999999</v>
      </c>
      <c r="G380" s="32" t="s">
        <v>668</v>
      </c>
      <c r="H380" s="32" t="b">
        <v>1</v>
      </c>
    </row>
    <row r="381" spans="1:8">
      <c r="A381" s="32" t="s">
        <v>418</v>
      </c>
      <c r="B381" s="32" t="s">
        <v>584</v>
      </c>
      <c r="C381" s="32" t="s">
        <v>667</v>
      </c>
      <c r="D381" s="32">
        <v>1372</v>
      </c>
      <c r="E381" s="32">
        <v>1218</v>
      </c>
      <c r="F381" s="45">
        <v>-0.112</v>
      </c>
      <c r="G381" s="32" t="s">
        <v>668</v>
      </c>
      <c r="H381" s="32" t="b">
        <v>1</v>
      </c>
    </row>
    <row r="382" spans="1:8">
      <c r="A382" s="32" t="s">
        <v>419</v>
      </c>
      <c r="B382" s="32" t="s">
        <v>584</v>
      </c>
      <c r="C382" s="32" t="s">
        <v>667</v>
      </c>
      <c r="D382" s="32">
        <v>836</v>
      </c>
      <c r="E382" s="32">
        <v>679</v>
      </c>
      <c r="F382" s="45">
        <v>-0.188</v>
      </c>
      <c r="G382" s="32" t="s">
        <v>668</v>
      </c>
      <c r="H382" s="32" t="b">
        <v>1</v>
      </c>
    </row>
    <row r="383" spans="1:8">
      <c r="A383" s="32" t="s">
        <v>420</v>
      </c>
      <c r="B383" s="32" t="s">
        <v>584</v>
      </c>
      <c r="C383" s="32" t="s">
        <v>667</v>
      </c>
      <c r="D383" s="32">
        <v>2445</v>
      </c>
      <c r="E383" s="32">
        <v>2453</v>
      </c>
      <c r="F383" s="45">
        <v>3.0000000000000001E-3</v>
      </c>
      <c r="G383" s="32" t="s">
        <v>669</v>
      </c>
      <c r="H383" s="32" t="b">
        <v>0</v>
      </c>
    </row>
    <row r="384" spans="1:8">
      <c r="A384" s="32" t="s">
        <v>621</v>
      </c>
      <c r="B384" s="32" t="s">
        <v>584</v>
      </c>
      <c r="C384" s="32" t="s">
        <v>667</v>
      </c>
      <c r="D384" s="32">
        <v>954</v>
      </c>
      <c r="E384" s="32">
        <v>1113</v>
      </c>
      <c r="F384" s="45">
        <v>0.16700000000000001</v>
      </c>
      <c r="G384" s="32" t="s">
        <v>669</v>
      </c>
      <c r="H384" s="32" t="b">
        <v>0</v>
      </c>
    </row>
    <row r="385" spans="1:8">
      <c r="A385" s="32" t="s">
        <v>422</v>
      </c>
      <c r="B385" s="32" t="s">
        <v>584</v>
      </c>
      <c r="C385" s="32" t="s">
        <v>667</v>
      </c>
      <c r="D385" s="32">
        <v>227</v>
      </c>
      <c r="E385" s="32">
        <v>116</v>
      </c>
      <c r="F385" s="45">
        <v>-0.48899999999999999</v>
      </c>
      <c r="G385" s="32" t="s">
        <v>668</v>
      </c>
      <c r="H385" s="32" t="b">
        <v>1</v>
      </c>
    </row>
    <row r="386" spans="1:8">
      <c r="A386" s="32" t="s">
        <v>423</v>
      </c>
      <c r="B386" s="32" t="s">
        <v>584</v>
      </c>
      <c r="C386" s="32" t="s">
        <v>667</v>
      </c>
      <c r="D386" s="32">
        <v>3892</v>
      </c>
      <c r="E386" s="32">
        <v>3665</v>
      </c>
      <c r="F386" s="45">
        <v>-5.8000000000000003E-2</v>
      </c>
      <c r="G386" s="32" t="s">
        <v>668</v>
      </c>
      <c r="H386" s="32" t="b">
        <v>1</v>
      </c>
    </row>
    <row r="387" spans="1:8">
      <c r="A387" s="32" t="s">
        <v>424</v>
      </c>
      <c r="B387" s="32" t="s">
        <v>584</v>
      </c>
      <c r="C387" s="32" t="s">
        <v>667</v>
      </c>
      <c r="D387" s="32">
        <v>1854</v>
      </c>
      <c r="E387" s="32">
        <v>1897</v>
      </c>
      <c r="F387" s="45">
        <v>2.3E-2</v>
      </c>
      <c r="G387" s="32" t="s">
        <v>669</v>
      </c>
      <c r="H387" s="32" t="b">
        <v>0</v>
      </c>
    </row>
    <row r="388" spans="1:8">
      <c r="A388" s="32" t="s">
        <v>425</v>
      </c>
      <c r="B388" s="32" t="s">
        <v>584</v>
      </c>
      <c r="C388" s="32" t="s">
        <v>667</v>
      </c>
      <c r="D388" s="32">
        <v>939</v>
      </c>
      <c r="E388" s="32">
        <v>1005</v>
      </c>
      <c r="F388" s="45">
        <v>7.0000000000000007E-2</v>
      </c>
      <c r="G388" s="32" t="s">
        <v>669</v>
      </c>
      <c r="H388" s="32" t="b">
        <v>0</v>
      </c>
    </row>
    <row r="389" spans="1:8">
      <c r="A389" s="32" t="s">
        <v>426</v>
      </c>
      <c r="B389" s="32" t="s">
        <v>584</v>
      </c>
      <c r="C389" s="32" t="s">
        <v>667</v>
      </c>
      <c r="D389" s="32">
        <v>1074</v>
      </c>
      <c r="E389" s="32">
        <v>1089</v>
      </c>
      <c r="F389" s="45">
        <v>1.4E-2</v>
      </c>
      <c r="G389" s="32" t="s">
        <v>669</v>
      </c>
      <c r="H389" s="32" t="b">
        <v>0</v>
      </c>
    </row>
    <row r="390" spans="1:8">
      <c r="A390" s="32" t="s">
        <v>427</v>
      </c>
      <c r="B390" s="32" t="s">
        <v>586</v>
      </c>
      <c r="C390" s="32" t="s">
        <v>667</v>
      </c>
      <c r="D390" s="32">
        <v>598</v>
      </c>
      <c r="E390" s="32">
        <v>490</v>
      </c>
      <c r="F390" s="45">
        <v>-0.18099999999999999</v>
      </c>
      <c r="G390" s="32" t="s">
        <v>668</v>
      </c>
      <c r="H390" s="32" t="b">
        <v>1</v>
      </c>
    </row>
    <row r="391" spans="1:8">
      <c r="A391" s="32" t="s">
        <v>428</v>
      </c>
      <c r="B391" s="32" t="s">
        <v>586</v>
      </c>
      <c r="C391" s="32" t="s">
        <v>667</v>
      </c>
      <c r="D391" s="32">
        <v>1803</v>
      </c>
      <c r="E391" s="32">
        <v>1763</v>
      </c>
      <c r="F391" s="45">
        <v>-2.1999999999999999E-2</v>
      </c>
      <c r="G391" s="32" t="s">
        <v>670</v>
      </c>
      <c r="H391" s="32" t="b">
        <v>1</v>
      </c>
    </row>
    <row r="392" spans="1:8">
      <c r="A392" s="32" t="s">
        <v>429</v>
      </c>
      <c r="B392" s="32" t="s">
        <v>586</v>
      </c>
      <c r="C392" s="32" t="s">
        <v>667</v>
      </c>
      <c r="D392" s="32">
        <v>985</v>
      </c>
      <c r="E392" s="32">
        <v>957</v>
      </c>
      <c r="F392" s="45">
        <v>-2.8000000000000001E-2</v>
      </c>
      <c r="G392" s="32" t="s">
        <v>670</v>
      </c>
      <c r="H392" s="32" t="b">
        <v>1</v>
      </c>
    </row>
    <row r="393" spans="1:8">
      <c r="A393" s="32" t="s">
        <v>430</v>
      </c>
      <c r="B393" s="32" t="s">
        <v>586</v>
      </c>
      <c r="C393" s="32" t="s">
        <v>667</v>
      </c>
      <c r="D393" s="32">
        <v>725</v>
      </c>
      <c r="E393" s="32">
        <v>607</v>
      </c>
      <c r="F393" s="45">
        <v>-0.16300000000000001</v>
      </c>
      <c r="G393" s="32" t="s">
        <v>668</v>
      </c>
      <c r="H393" s="32" t="b">
        <v>1</v>
      </c>
    </row>
    <row r="394" spans="1:8">
      <c r="A394" s="32" t="s">
        <v>431</v>
      </c>
      <c r="B394" s="32" t="s">
        <v>586</v>
      </c>
      <c r="C394" s="32" t="s">
        <v>667</v>
      </c>
      <c r="D394" s="32">
        <v>89</v>
      </c>
      <c r="E394" s="32">
        <v>0</v>
      </c>
      <c r="F394" s="45">
        <v>-1</v>
      </c>
      <c r="G394" s="32" t="s">
        <v>668</v>
      </c>
      <c r="H394" s="32" t="b">
        <v>1</v>
      </c>
    </row>
    <row r="395" spans="1:8">
      <c r="A395" s="32" t="s">
        <v>433</v>
      </c>
      <c r="B395" s="32" t="s">
        <v>586</v>
      </c>
      <c r="C395" s="32" t="s">
        <v>667</v>
      </c>
      <c r="D395" s="32">
        <v>34</v>
      </c>
      <c r="E395" s="32">
        <v>113</v>
      </c>
      <c r="F395" s="45">
        <v>2.3239999999999998</v>
      </c>
      <c r="G395" s="32" t="s">
        <v>669</v>
      </c>
      <c r="H395" s="32" t="b">
        <v>0</v>
      </c>
    </row>
    <row r="396" spans="1:8">
      <c r="A396" s="32" t="s">
        <v>434</v>
      </c>
      <c r="B396" s="32" t="s">
        <v>586</v>
      </c>
      <c r="C396" s="32" t="s">
        <v>667</v>
      </c>
      <c r="D396" s="32">
        <v>1576</v>
      </c>
      <c r="E396" s="32">
        <v>1538</v>
      </c>
      <c r="F396" s="45">
        <v>-2.4E-2</v>
      </c>
      <c r="G396" s="32" t="s">
        <v>670</v>
      </c>
      <c r="H396" s="32" t="b">
        <v>1</v>
      </c>
    </row>
    <row r="397" spans="1:8">
      <c r="A397" s="32" t="s">
        <v>435</v>
      </c>
      <c r="B397" s="32" t="s">
        <v>586</v>
      </c>
      <c r="C397" s="32" t="s">
        <v>667</v>
      </c>
      <c r="D397" s="32">
        <v>1354</v>
      </c>
      <c r="E397" s="32">
        <v>1417</v>
      </c>
      <c r="F397" s="45">
        <v>4.7E-2</v>
      </c>
      <c r="G397" s="32" t="s">
        <v>669</v>
      </c>
      <c r="H397" s="32" t="b">
        <v>0</v>
      </c>
    </row>
    <row r="398" spans="1:8">
      <c r="A398" s="32" t="s">
        <v>436</v>
      </c>
      <c r="B398" s="32" t="s">
        <v>586</v>
      </c>
      <c r="C398" s="32" t="s">
        <v>667</v>
      </c>
      <c r="D398" s="32">
        <v>1531</v>
      </c>
      <c r="E398" s="32">
        <v>1492</v>
      </c>
      <c r="F398" s="45">
        <v>-2.5000000000000001E-2</v>
      </c>
      <c r="G398" s="32" t="s">
        <v>670</v>
      </c>
      <c r="H398" s="32" t="b">
        <v>1</v>
      </c>
    </row>
    <row r="399" spans="1:8">
      <c r="A399" s="32" t="s">
        <v>437</v>
      </c>
      <c r="B399" s="32" t="s">
        <v>586</v>
      </c>
      <c r="C399" s="32" t="s">
        <v>667</v>
      </c>
      <c r="D399" s="32">
        <v>1789</v>
      </c>
      <c r="E399" s="32">
        <v>1799</v>
      </c>
      <c r="F399" s="45">
        <v>6.0000000000000001E-3</v>
      </c>
      <c r="G399" s="32" t="s">
        <v>669</v>
      </c>
      <c r="H399" s="32" t="b">
        <v>0</v>
      </c>
    </row>
    <row r="400" spans="1:8">
      <c r="A400" s="32" t="s">
        <v>438</v>
      </c>
      <c r="B400" s="32" t="s">
        <v>586</v>
      </c>
      <c r="C400" s="32" t="s">
        <v>667</v>
      </c>
      <c r="D400" s="32">
        <v>1323</v>
      </c>
      <c r="E400" s="32">
        <v>1315</v>
      </c>
      <c r="F400" s="45">
        <v>-6.0000000000000001E-3</v>
      </c>
      <c r="G400" s="32" t="s">
        <v>670</v>
      </c>
      <c r="H400" s="32" t="b">
        <v>0</v>
      </c>
    </row>
    <row r="401" spans="1:8">
      <c r="A401" s="32" t="s">
        <v>439</v>
      </c>
      <c r="B401" s="32" t="s">
        <v>586</v>
      </c>
      <c r="C401" s="32" t="s">
        <v>667</v>
      </c>
      <c r="D401" s="32">
        <v>287</v>
      </c>
      <c r="E401" s="32">
        <v>299</v>
      </c>
      <c r="F401" s="45">
        <v>4.2000000000000003E-2</v>
      </c>
      <c r="G401" s="32" t="s">
        <v>669</v>
      </c>
      <c r="H401" s="32" t="b">
        <v>0</v>
      </c>
    </row>
    <row r="402" spans="1:8">
      <c r="A402" s="32" t="s">
        <v>440</v>
      </c>
      <c r="B402" s="32" t="s">
        <v>586</v>
      </c>
      <c r="C402" s="32" t="s">
        <v>667</v>
      </c>
      <c r="D402" s="32">
        <v>2037</v>
      </c>
      <c r="E402" s="32">
        <v>1967</v>
      </c>
      <c r="F402" s="45">
        <v>-3.4000000000000002E-2</v>
      </c>
      <c r="G402" s="32" t="s">
        <v>670</v>
      </c>
      <c r="H402" s="32" t="b">
        <v>1</v>
      </c>
    </row>
    <row r="403" spans="1:8">
      <c r="A403" s="32" t="s">
        <v>441</v>
      </c>
      <c r="B403" s="32" t="s">
        <v>586</v>
      </c>
      <c r="C403" s="32" t="s">
        <v>667</v>
      </c>
      <c r="D403" s="32">
        <v>1148</v>
      </c>
      <c r="E403" s="32">
        <v>1150</v>
      </c>
      <c r="F403" s="45">
        <v>2E-3</v>
      </c>
      <c r="G403" s="32" t="s">
        <v>669</v>
      </c>
      <c r="H403" s="32" t="b">
        <v>0</v>
      </c>
    </row>
    <row r="404" spans="1:8">
      <c r="A404" s="32" t="s">
        <v>442</v>
      </c>
      <c r="B404" s="32" t="s">
        <v>586</v>
      </c>
      <c r="C404" s="32" t="s">
        <v>667</v>
      </c>
      <c r="D404" s="32">
        <v>1226</v>
      </c>
      <c r="E404" s="32">
        <v>1071</v>
      </c>
      <c r="F404" s="45">
        <v>-0.126</v>
      </c>
      <c r="G404" s="32" t="s">
        <v>668</v>
      </c>
      <c r="H404" s="32" t="b">
        <v>1</v>
      </c>
    </row>
    <row r="405" spans="1:8">
      <c r="A405" s="32" t="s">
        <v>443</v>
      </c>
      <c r="B405" s="32" t="s">
        <v>586</v>
      </c>
      <c r="C405" s="32" t="s">
        <v>667</v>
      </c>
      <c r="D405" s="32">
        <v>1530</v>
      </c>
      <c r="E405" s="32">
        <v>1491</v>
      </c>
      <c r="F405" s="45">
        <v>-2.5000000000000001E-2</v>
      </c>
      <c r="G405" s="32" t="s">
        <v>670</v>
      </c>
      <c r="H405" s="32" t="b">
        <v>1</v>
      </c>
    </row>
    <row r="406" spans="1:8">
      <c r="A406" s="32" t="s">
        <v>444</v>
      </c>
      <c r="B406" s="32" t="s">
        <v>586</v>
      </c>
      <c r="C406" s="32" t="s">
        <v>667</v>
      </c>
      <c r="D406" s="32">
        <v>2006</v>
      </c>
      <c r="E406" s="32">
        <v>2007</v>
      </c>
      <c r="F406" s="45">
        <v>0</v>
      </c>
      <c r="G406" s="32" t="s">
        <v>669</v>
      </c>
      <c r="H406" s="32" t="b">
        <v>0</v>
      </c>
    </row>
    <row r="407" spans="1:8">
      <c r="A407" s="32" t="s">
        <v>445</v>
      </c>
      <c r="B407" s="32" t="s">
        <v>586</v>
      </c>
      <c r="C407" s="32" t="s">
        <v>667</v>
      </c>
      <c r="D407" s="32">
        <v>1491</v>
      </c>
      <c r="E407" s="32">
        <v>1446</v>
      </c>
      <c r="F407" s="45">
        <v>-0.03</v>
      </c>
      <c r="G407" s="32" t="s">
        <v>670</v>
      </c>
      <c r="H407" s="32" t="b">
        <v>1</v>
      </c>
    </row>
    <row r="408" spans="1:8">
      <c r="A408" s="32" t="s">
        <v>446</v>
      </c>
      <c r="B408" s="32" t="s">
        <v>586</v>
      </c>
      <c r="C408" s="32" t="s">
        <v>667</v>
      </c>
      <c r="D408" s="32">
        <v>1167</v>
      </c>
      <c r="E408" s="32">
        <v>1099</v>
      </c>
      <c r="F408" s="45">
        <v>-5.8000000000000003E-2</v>
      </c>
      <c r="G408" s="32" t="s">
        <v>668</v>
      </c>
      <c r="H408" s="32" t="b">
        <v>1</v>
      </c>
    </row>
    <row r="409" spans="1:8">
      <c r="A409" s="32" t="s">
        <v>447</v>
      </c>
      <c r="B409" s="32" t="s">
        <v>586</v>
      </c>
      <c r="C409" s="32" t="s">
        <v>667</v>
      </c>
      <c r="D409" s="32">
        <v>1285</v>
      </c>
      <c r="E409" s="32">
        <v>1187</v>
      </c>
      <c r="F409" s="45">
        <v>-7.5999999999999998E-2</v>
      </c>
      <c r="G409" s="32" t="s">
        <v>668</v>
      </c>
      <c r="H409" s="32" t="b">
        <v>1</v>
      </c>
    </row>
    <row r="410" spans="1:8">
      <c r="A410" s="32" t="s">
        <v>448</v>
      </c>
      <c r="B410" s="32" t="s">
        <v>586</v>
      </c>
      <c r="C410" s="32" t="s">
        <v>667</v>
      </c>
      <c r="D410" s="32">
        <v>1412</v>
      </c>
      <c r="E410" s="32">
        <v>1400</v>
      </c>
      <c r="F410" s="45">
        <v>-8.0000000000000002E-3</v>
      </c>
      <c r="G410" s="32" t="s">
        <v>670</v>
      </c>
      <c r="H410" s="32" t="b">
        <v>0</v>
      </c>
    </row>
    <row r="411" spans="1:8">
      <c r="A411" s="32" t="s">
        <v>449</v>
      </c>
      <c r="B411" s="32" t="s">
        <v>586</v>
      </c>
      <c r="C411" s="32" t="s">
        <v>667</v>
      </c>
      <c r="D411" s="32">
        <v>657</v>
      </c>
      <c r="E411" s="32">
        <v>130</v>
      </c>
      <c r="F411" s="45">
        <v>-0.80200000000000005</v>
      </c>
      <c r="G411" s="32" t="s">
        <v>668</v>
      </c>
      <c r="H411" s="32" t="b">
        <v>1</v>
      </c>
    </row>
    <row r="412" spans="1:8">
      <c r="A412" s="32" t="s">
        <v>450</v>
      </c>
      <c r="B412" s="32" t="s">
        <v>586</v>
      </c>
      <c r="C412" s="32" t="s">
        <v>667</v>
      </c>
      <c r="D412" s="32">
        <v>2168</v>
      </c>
      <c r="E412" s="32">
        <v>1572</v>
      </c>
      <c r="F412" s="45">
        <v>-0.27500000000000002</v>
      </c>
      <c r="G412" s="32" t="s">
        <v>668</v>
      </c>
      <c r="H412" s="32" t="b">
        <v>1</v>
      </c>
    </row>
    <row r="413" spans="1:8">
      <c r="A413" s="32" t="s">
        <v>451</v>
      </c>
      <c r="B413" s="32" t="s">
        <v>586</v>
      </c>
      <c r="C413" s="32" t="s">
        <v>667</v>
      </c>
      <c r="D413" s="32">
        <v>186</v>
      </c>
      <c r="E413" s="32">
        <v>168</v>
      </c>
      <c r="F413" s="45">
        <v>-9.7000000000000003E-2</v>
      </c>
      <c r="G413" s="32" t="s">
        <v>668</v>
      </c>
      <c r="H413" s="32" t="b">
        <v>1</v>
      </c>
    </row>
    <row r="414" spans="1:8">
      <c r="A414" s="32" t="s">
        <v>452</v>
      </c>
      <c r="B414" s="32" t="s">
        <v>586</v>
      </c>
      <c r="C414" s="32" t="s">
        <v>667</v>
      </c>
      <c r="D414" s="32">
        <v>617</v>
      </c>
      <c r="E414" s="32">
        <v>560</v>
      </c>
      <c r="F414" s="45">
        <v>-9.1999999999999998E-2</v>
      </c>
      <c r="G414" s="32" t="s">
        <v>668</v>
      </c>
      <c r="H414" s="32" t="b">
        <v>1</v>
      </c>
    </row>
    <row r="415" spans="1:8">
      <c r="A415" s="32" t="s">
        <v>453</v>
      </c>
      <c r="B415" s="32" t="s">
        <v>586</v>
      </c>
      <c r="C415" s="32" t="s">
        <v>667</v>
      </c>
      <c r="D415" s="32">
        <v>631</v>
      </c>
      <c r="E415" s="32">
        <v>421</v>
      </c>
      <c r="F415" s="45">
        <v>-0.33300000000000002</v>
      </c>
      <c r="G415" s="32" t="s">
        <v>668</v>
      </c>
      <c r="H415" s="32" t="b">
        <v>1</v>
      </c>
    </row>
    <row r="416" spans="1:8">
      <c r="A416" s="32" t="s">
        <v>454</v>
      </c>
      <c r="B416" s="32" t="s">
        <v>586</v>
      </c>
      <c r="C416" s="32" t="s">
        <v>667</v>
      </c>
      <c r="D416" s="32">
        <v>1280</v>
      </c>
      <c r="E416" s="32">
        <v>1186</v>
      </c>
      <c r="F416" s="45">
        <v>-7.2999999999999995E-2</v>
      </c>
      <c r="G416" s="32" t="s">
        <v>668</v>
      </c>
      <c r="H416" s="32" t="b">
        <v>1</v>
      </c>
    </row>
    <row r="417" spans="1:8">
      <c r="A417" s="32" t="s">
        <v>455</v>
      </c>
      <c r="B417" s="32" t="s">
        <v>586</v>
      </c>
      <c r="C417" s="32" t="s">
        <v>667</v>
      </c>
      <c r="D417" s="32">
        <v>690</v>
      </c>
      <c r="E417" s="32">
        <v>586</v>
      </c>
      <c r="F417" s="45">
        <v>-0.151</v>
      </c>
      <c r="G417" s="32" t="s">
        <v>668</v>
      </c>
      <c r="H417" s="32" t="b">
        <v>1</v>
      </c>
    </row>
    <row r="418" spans="1:8">
      <c r="A418" s="32" t="s">
        <v>456</v>
      </c>
      <c r="B418" s="32" t="s">
        <v>586</v>
      </c>
      <c r="C418" s="32" t="s">
        <v>667</v>
      </c>
      <c r="D418" s="32">
        <v>636</v>
      </c>
      <c r="E418" s="32">
        <v>449</v>
      </c>
      <c r="F418" s="45">
        <v>-0.29399999999999998</v>
      </c>
      <c r="G418" s="32" t="s">
        <v>668</v>
      </c>
      <c r="H418" s="32" t="b">
        <v>1</v>
      </c>
    </row>
    <row r="419" spans="1:8">
      <c r="A419" s="32" t="s">
        <v>457</v>
      </c>
      <c r="B419" s="32" t="s">
        <v>586</v>
      </c>
      <c r="C419" s="32" t="s">
        <v>667</v>
      </c>
      <c r="D419" s="32">
        <v>1205</v>
      </c>
      <c r="E419" s="32">
        <v>1139</v>
      </c>
      <c r="F419" s="45">
        <v>-5.5E-2</v>
      </c>
      <c r="G419" s="32" t="s">
        <v>668</v>
      </c>
      <c r="H419" s="32" t="b">
        <v>1</v>
      </c>
    </row>
    <row r="420" spans="1:8">
      <c r="A420" s="32" t="s">
        <v>458</v>
      </c>
      <c r="B420" s="32" t="s">
        <v>586</v>
      </c>
      <c r="C420" s="32" t="s">
        <v>667</v>
      </c>
      <c r="D420" s="32">
        <v>1534</v>
      </c>
      <c r="E420" s="32">
        <v>1438</v>
      </c>
      <c r="F420" s="45">
        <v>-6.3E-2</v>
      </c>
      <c r="G420" s="32" t="s">
        <v>668</v>
      </c>
      <c r="H420" s="32" t="b">
        <v>1</v>
      </c>
    </row>
    <row r="421" spans="1:8">
      <c r="A421" s="32" t="s">
        <v>459</v>
      </c>
      <c r="B421" s="32" t="s">
        <v>586</v>
      </c>
      <c r="C421" s="32" t="s">
        <v>667</v>
      </c>
      <c r="D421" s="32">
        <v>995</v>
      </c>
      <c r="E421" s="32">
        <v>971</v>
      </c>
      <c r="F421" s="45">
        <v>-2.4E-2</v>
      </c>
      <c r="G421" s="32" t="s">
        <v>670</v>
      </c>
      <c r="H421" s="32" t="b">
        <v>1</v>
      </c>
    </row>
    <row r="422" spans="1:8">
      <c r="A422" s="32" t="s">
        <v>460</v>
      </c>
      <c r="B422" s="32" t="s">
        <v>586</v>
      </c>
      <c r="C422" s="32" t="s">
        <v>667</v>
      </c>
      <c r="D422" s="32">
        <v>824</v>
      </c>
      <c r="E422" s="32">
        <v>729</v>
      </c>
      <c r="F422" s="45">
        <v>-0.115</v>
      </c>
      <c r="G422" s="32" t="s">
        <v>668</v>
      </c>
      <c r="H422" s="32" t="b">
        <v>1</v>
      </c>
    </row>
    <row r="423" spans="1:8">
      <c r="A423" s="32" t="s">
        <v>461</v>
      </c>
      <c r="B423" s="32" t="s">
        <v>586</v>
      </c>
      <c r="C423" s="32" t="s">
        <v>667</v>
      </c>
      <c r="D423" s="32">
        <v>951</v>
      </c>
      <c r="E423" s="32">
        <v>915</v>
      </c>
      <c r="F423" s="45">
        <v>-3.7999999999999999E-2</v>
      </c>
      <c r="G423" s="32" t="s">
        <v>670</v>
      </c>
      <c r="H423" s="32" t="b">
        <v>1</v>
      </c>
    </row>
    <row r="424" spans="1:8">
      <c r="A424" s="32" t="s">
        <v>462</v>
      </c>
      <c r="B424" s="32" t="s">
        <v>586</v>
      </c>
      <c r="C424" s="32" t="s">
        <v>667</v>
      </c>
      <c r="D424" s="32">
        <v>681</v>
      </c>
      <c r="E424" s="32">
        <v>406</v>
      </c>
      <c r="F424" s="45">
        <v>-0.40400000000000003</v>
      </c>
      <c r="G424" s="32" t="s">
        <v>668</v>
      </c>
      <c r="H424" s="32" t="b">
        <v>1</v>
      </c>
    </row>
    <row r="425" spans="1:8">
      <c r="A425" s="32" t="s">
        <v>463</v>
      </c>
      <c r="B425" s="32" t="s">
        <v>586</v>
      </c>
      <c r="C425" s="32" t="s">
        <v>667</v>
      </c>
      <c r="D425" s="32">
        <v>455</v>
      </c>
      <c r="E425" s="32">
        <v>310</v>
      </c>
      <c r="F425" s="45">
        <v>-0.31900000000000001</v>
      </c>
      <c r="G425" s="32" t="s">
        <v>668</v>
      </c>
      <c r="H425" s="32" t="b">
        <v>1</v>
      </c>
    </row>
    <row r="426" spans="1:8">
      <c r="A426" s="32" t="s">
        <v>464</v>
      </c>
      <c r="B426" s="32" t="s">
        <v>588</v>
      </c>
      <c r="C426" s="32" t="s">
        <v>667</v>
      </c>
      <c r="D426" s="32">
        <v>963</v>
      </c>
      <c r="E426" s="32">
        <v>765</v>
      </c>
      <c r="F426" s="45">
        <v>-0.20599999999999999</v>
      </c>
      <c r="G426" s="32" t="s">
        <v>668</v>
      </c>
      <c r="H426" s="32" t="b">
        <v>1</v>
      </c>
    </row>
    <row r="427" spans="1:8">
      <c r="A427" s="32" t="s">
        <v>466</v>
      </c>
      <c r="B427" s="32" t="s">
        <v>588</v>
      </c>
      <c r="C427" s="32" t="s">
        <v>667</v>
      </c>
      <c r="D427" s="32">
        <v>1194</v>
      </c>
      <c r="E427" s="32">
        <v>1064</v>
      </c>
      <c r="F427" s="45">
        <v>-0.109</v>
      </c>
      <c r="G427" s="32" t="s">
        <v>668</v>
      </c>
      <c r="H427" s="32" t="b">
        <v>1</v>
      </c>
    </row>
    <row r="428" spans="1:8">
      <c r="A428" s="32" t="s">
        <v>467</v>
      </c>
      <c r="B428" s="32" t="s">
        <v>588</v>
      </c>
      <c r="C428" s="32" t="s">
        <v>667</v>
      </c>
      <c r="D428" s="32">
        <v>1140</v>
      </c>
      <c r="E428" s="32">
        <v>1119</v>
      </c>
      <c r="F428" s="45">
        <v>-1.7999999999999999E-2</v>
      </c>
      <c r="G428" s="32" t="s">
        <v>670</v>
      </c>
      <c r="H428" s="32" t="b">
        <v>1</v>
      </c>
    </row>
    <row r="429" spans="1:8">
      <c r="A429" s="32" t="s">
        <v>468</v>
      </c>
      <c r="B429" s="32" t="s">
        <v>588</v>
      </c>
      <c r="C429" s="32" t="s">
        <v>667</v>
      </c>
      <c r="D429" s="32">
        <v>331</v>
      </c>
      <c r="E429" s="32">
        <v>341</v>
      </c>
      <c r="F429" s="45">
        <v>0.03</v>
      </c>
      <c r="G429" s="32" t="s">
        <v>669</v>
      </c>
      <c r="H429" s="32" t="b">
        <v>0</v>
      </c>
    </row>
    <row r="430" spans="1:8">
      <c r="A430" s="32" t="s">
        <v>469</v>
      </c>
      <c r="B430" s="32" t="s">
        <v>588</v>
      </c>
      <c r="C430" s="32" t="s">
        <v>667</v>
      </c>
      <c r="D430" s="32">
        <v>1430</v>
      </c>
      <c r="E430" s="32">
        <v>1188</v>
      </c>
      <c r="F430" s="45">
        <v>-0.16900000000000001</v>
      </c>
      <c r="G430" s="32" t="s">
        <v>668</v>
      </c>
      <c r="H430" s="32" t="b">
        <v>1</v>
      </c>
    </row>
    <row r="431" spans="1:8">
      <c r="A431" s="32" t="s">
        <v>470</v>
      </c>
      <c r="B431" s="32" t="s">
        <v>588</v>
      </c>
      <c r="C431" s="32" t="s">
        <v>667</v>
      </c>
      <c r="D431" s="32">
        <v>894</v>
      </c>
      <c r="E431" s="32">
        <v>860</v>
      </c>
      <c r="F431" s="45">
        <v>-3.7999999999999999E-2</v>
      </c>
      <c r="G431" s="32" t="s">
        <v>670</v>
      </c>
      <c r="H431" s="32" t="b">
        <v>1</v>
      </c>
    </row>
    <row r="432" spans="1:8">
      <c r="A432" s="32" t="s">
        <v>471</v>
      </c>
      <c r="B432" s="32" t="s">
        <v>588</v>
      </c>
      <c r="C432" s="32" t="s">
        <v>667</v>
      </c>
      <c r="D432" s="32">
        <v>1025</v>
      </c>
      <c r="E432" s="32">
        <v>837</v>
      </c>
      <c r="F432" s="45">
        <v>-0.183</v>
      </c>
      <c r="G432" s="32" t="s">
        <v>668</v>
      </c>
      <c r="H432" s="32" t="b">
        <v>1</v>
      </c>
    </row>
    <row r="433" spans="1:8">
      <c r="A433" s="32" t="s">
        <v>472</v>
      </c>
      <c r="B433" s="32" t="s">
        <v>588</v>
      </c>
      <c r="C433" s="32" t="s">
        <v>667</v>
      </c>
      <c r="D433" s="32">
        <v>464</v>
      </c>
      <c r="E433" s="32">
        <v>394</v>
      </c>
      <c r="F433" s="45">
        <v>-0.151</v>
      </c>
      <c r="G433" s="32" t="s">
        <v>668</v>
      </c>
      <c r="H433" s="32" t="b">
        <v>1</v>
      </c>
    </row>
    <row r="434" spans="1:8">
      <c r="A434" s="32" t="s">
        <v>622</v>
      </c>
      <c r="B434" s="32" t="s">
        <v>588</v>
      </c>
      <c r="C434" s="32" t="s">
        <v>667</v>
      </c>
      <c r="D434" s="32">
        <v>2477</v>
      </c>
      <c r="E434" s="32">
        <v>2543</v>
      </c>
      <c r="F434" s="45">
        <v>2.7E-2</v>
      </c>
      <c r="G434" s="32" t="s">
        <v>669</v>
      </c>
      <c r="H434" s="32" t="b">
        <v>0</v>
      </c>
    </row>
    <row r="435" spans="1:8">
      <c r="A435" s="32" t="s">
        <v>474</v>
      </c>
      <c r="B435" s="32" t="s">
        <v>588</v>
      </c>
      <c r="C435" s="32" t="s">
        <v>667</v>
      </c>
      <c r="D435" s="32">
        <v>1094</v>
      </c>
      <c r="E435" s="32">
        <v>932</v>
      </c>
      <c r="F435" s="45">
        <v>-0.14799999999999999</v>
      </c>
      <c r="G435" s="32" t="s">
        <v>668</v>
      </c>
      <c r="H435" s="32" t="b">
        <v>1</v>
      </c>
    </row>
    <row r="436" spans="1:8">
      <c r="A436" s="32" t="s">
        <v>475</v>
      </c>
      <c r="B436" s="32" t="s">
        <v>588</v>
      </c>
      <c r="C436" s="32" t="s">
        <v>667</v>
      </c>
      <c r="D436" s="32">
        <v>306</v>
      </c>
      <c r="E436" s="32">
        <v>135</v>
      </c>
      <c r="F436" s="45">
        <v>-0.55900000000000005</v>
      </c>
      <c r="G436" s="32" t="s">
        <v>668</v>
      </c>
      <c r="H436" s="32" t="b">
        <v>1</v>
      </c>
    </row>
    <row r="437" spans="1:8">
      <c r="A437" s="32" t="s">
        <v>476</v>
      </c>
      <c r="B437" s="32" t="s">
        <v>588</v>
      </c>
      <c r="C437" s="32" t="s">
        <v>667</v>
      </c>
      <c r="D437" s="32">
        <v>507</v>
      </c>
      <c r="E437" s="32">
        <v>375</v>
      </c>
      <c r="F437" s="45">
        <v>-0.26</v>
      </c>
      <c r="G437" s="32" t="s">
        <v>668</v>
      </c>
      <c r="H437" s="32" t="b">
        <v>1</v>
      </c>
    </row>
    <row r="438" spans="1:8">
      <c r="A438" s="32" t="s">
        <v>477</v>
      </c>
      <c r="B438" s="32" t="s">
        <v>588</v>
      </c>
      <c r="C438" s="32" t="s">
        <v>667</v>
      </c>
      <c r="D438" s="32">
        <v>581</v>
      </c>
      <c r="E438" s="32">
        <v>507</v>
      </c>
      <c r="F438" s="45">
        <v>-0.127</v>
      </c>
      <c r="G438" s="32" t="s">
        <v>668</v>
      </c>
      <c r="H438" s="32" t="b">
        <v>1</v>
      </c>
    </row>
    <row r="439" spans="1:8">
      <c r="A439" s="32" t="s">
        <v>478</v>
      </c>
      <c r="B439" s="32" t="s">
        <v>588</v>
      </c>
      <c r="C439" s="32" t="s">
        <v>667</v>
      </c>
      <c r="D439" s="32">
        <v>1630</v>
      </c>
      <c r="E439" s="32">
        <v>1560</v>
      </c>
      <c r="F439" s="45">
        <v>-4.2999999999999997E-2</v>
      </c>
      <c r="G439" s="32" t="s">
        <v>670</v>
      </c>
      <c r="H439" s="32" t="b">
        <v>1</v>
      </c>
    </row>
    <row r="440" spans="1:8">
      <c r="A440" s="32" t="s">
        <v>479</v>
      </c>
      <c r="B440" s="32" t="s">
        <v>588</v>
      </c>
      <c r="C440" s="32" t="s">
        <v>667</v>
      </c>
      <c r="D440" s="32">
        <v>2075</v>
      </c>
      <c r="E440" s="32">
        <v>2065</v>
      </c>
      <c r="F440" s="45">
        <v>-5.0000000000000001E-3</v>
      </c>
      <c r="G440" s="32" t="s">
        <v>670</v>
      </c>
      <c r="H440" s="32" t="b">
        <v>0</v>
      </c>
    </row>
    <row r="441" spans="1:8">
      <c r="A441" s="32" t="s">
        <v>480</v>
      </c>
      <c r="B441" s="32" t="s">
        <v>588</v>
      </c>
      <c r="C441" s="32" t="s">
        <v>667</v>
      </c>
      <c r="D441" s="32">
        <v>7724</v>
      </c>
      <c r="E441" s="32">
        <v>6709</v>
      </c>
      <c r="F441" s="45">
        <v>-0.13100000000000001</v>
      </c>
      <c r="G441" s="32" t="s">
        <v>668</v>
      </c>
      <c r="H441" s="32" t="b">
        <v>1</v>
      </c>
    </row>
    <row r="442" spans="1:8">
      <c r="A442" s="32" t="s">
        <v>481</v>
      </c>
      <c r="B442" s="32" t="s">
        <v>588</v>
      </c>
      <c r="C442" s="32" t="s">
        <v>667</v>
      </c>
      <c r="D442" s="32">
        <v>106</v>
      </c>
      <c r="E442" s="32">
        <v>65</v>
      </c>
      <c r="F442" s="45">
        <v>-0.38700000000000001</v>
      </c>
      <c r="G442" s="32" t="s">
        <v>668</v>
      </c>
      <c r="H442" s="32" t="b">
        <v>1</v>
      </c>
    </row>
    <row r="443" spans="1:8">
      <c r="A443" s="32" t="s">
        <v>482</v>
      </c>
      <c r="B443" s="32" t="s">
        <v>588</v>
      </c>
      <c r="C443" s="32" t="s">
        <v>667</v>
      </c>
      <c r="D443" s="32">
        <v>1090</v>
      </c>
      <c r="E443" s="32">
        <v>753</v>
      </c>
      <c r="F443" s="45">
        <v>-0.309</v>
      </c>
      <c r="G443" s="32" t="s">
        <v>668</v>
      </c>
      <c r="H443" s="32" t="b">
        <v>1</v>
      </c>
    </row>
    <row r="444" spans="1:8">
      <c r="A444" s="32" t="s">
        <v>483</v>
      </c>
      <c r="B444" s="32" t="s">
        <v>588</v>
      </c>
      <c r="C444" s="32" t="s">
        <v>667</v>
      </c>
      <c r="D444" s="32">
        <v>421</v>
      </c>
      <c r="E444" s="32">
        <v>392</v>
      </c>
      <c r="F444" s="45">
        <v>-6.9000000000000006E-2</v>
      </c>
      <c r="G444" s="32" t="s">
        <v>668</v>
      </c>
      <c r="H444" s="32" t="b">
        <v>1</v>
      </c>
    </row>
    <row r="445" spans="1:8">
      <c r="A445" s="32" t="s">
        <v>484</v>
      </c>
      <c r="B445" s="32" t="s">
        <v>588</v>
      </c>
      <c r="C445" s="32" t="s">
        <v>667</v>
      </c>
      <c r="D445" s="32">
        <v>1210</v>
      </c>
      <c r="E445" s="32">
        <v>1345</v>
      </c>
      <c r="F445" s="45">
        <v>0.112</v>
      </c>
      <c r="G445" s="32" t="s">
        <v>669</v>
      </c>
      <c r="H445" s="32" t="b">
        <v>0</v>
      </c>
    </row>
    <row r="446" spans="1:8">
      <c r="A446" s="32" t="s">
        <v>485</v>
      </c>
      <c r="B446" s="32" t="s">
        <v>588</v>
      </c>
      <c r="C446" s="32" t="s">
        <v>667</v>
      </c>
      <c r="D446" s="32">
        <v>556</v>
      </c>
      <c r="E446" s="32">
        <v>464</v>
      </c>
      <c r="F446" s="45">
        <v>-0.16500000000000001</v>
      </c>
      <c r="G446" s="32" t="s">
        <v>668</v>
      </c>
      <c r="H446" s="32" t="b">
        <v>1</v>
      </c>
    </row>
    <row r="447" spans="1:8">
      <c r="A447" s="32" t="s">
        <v>486</v>
      </c>
      <c r="B447" s="32" t="s">
        <v>588</v>
      </c>
      <c r="C447" s="32" t="s">
        <v>667</v>
      </c>
      <c r="D447" s="32">
        <v>1738</v>
      </c>
      <c r="E447" s="32">
        <v>1648</v>
      </c>
      <c r="F447" s="45">
        <v>-5.1999999999999998E-2</v>
      </c>
      <c r="G447" s="32" t="s">
        <v>668</v>
      </c>
      <c r="H447" s="32" t="b">
        <v>1</v>
      </c>
    </row>
    <row r="448" spans="1:8">
      <c r="A448" s="32" t="s">
        <v>487</v>
      </c>
      <c r="B448" s="32" t="s">
        <v>588</v>
      </c>
      <c r="C448" s="32" t="s">
        <v>667</v>
      </c>
      <c r="D448" s="32">
        <v>779</v>
      </c>
      <c r="E448" s="32">
        <v>641</v>
      </c>
      <c r="F448" s="45">
        <v>-0.17699999999999999</v>
      </c>
      <c r="G448" s="32" t="s">
        <v>668</v>
      </c>
      <c r="H448" s="32" t="b">
        <v>1</v>
      </c>
    </row>
    <row r="449" spans="1:8">
      <c r="A449" s="32" t="s">
        <v>488</v>
      </c>
      <c r="B449" s="32" t="s">
        <v>588</v>
      </c>
      <c r="C449" s="32" t="s">
        <v>667</v>
      </c>
      <c r="D449" s="32">
        <v>778</v>
      </c>
      <c r="E449" s="32">
        <v>615</v>
      </c>
      <c r="F449" s="45">
        <v>-0.21</v>
      </c>
      <c r="G449" s="32" t="s">
        <v>668</v>
      </c>
      <c r="H449" s="32" t="b">
        <v>1</v>
      </c>
    </row>
    <row r="450" spans="1:8">
      <c r="A450" s="32" t="s">
        <v>489</v>
      </c>
      <c r="B450" s="32" t="s">
        <v>588</v>
      </c>
      <c r="C450" s="32" t="s">
        <v>667</v>
      </c>
      <c r="D450" s="32">
        <v>592</v>
      </c>
      <c r="E450" s="32">
        <v>432</v>
      </c>
      <c r="F450" s="45">
        <v>-0.27</v>
      </c>
      <c r="G450" s="32" t="s">
        <v>668</v>
      </c>
      <c r="H450" s="32" t="b">
        <v>1</v>
      </c>
    </row>
    <row r="451" spans="1:8">
      <c r="A451" s="32" t="s">
        <v>490</v>
      </c>
      <c r="B451" s="32" t="s">
        <v>588</v>
      </c>
      <c r="C451" s="32" t="s">
        <v>667</v>
      </c>
      <c r="D451" s="32">
        <v>383</v>
      </c>
      <c r="E451" s="32">
        <v>267</v>
      </c>
      <c r="F451" s="45">
        <v>-0.30299999999999999</v>
      </c>
      <c r="G451" s="32" t="s">
        <v>668</v>
      </c>
      <c r="H451" s="32" t="b">
        <v>1</v>
      </c>
    </row>
    <row r="452" spans="1:8">
      <c r="A452" s="32" t="s">
        <v>491</v>
      </c>
      <c r="B452" s="32" t="s">
        <v>588</v>
      </c>
      <c r="C452" s="32" t="s">
        <v>667</v>
      </c>
      <c r="D452" s="32">
        <v>74</v>
      </c>
      <c r="E452" s="32">
        <v>0</v>
      </c>
      <c r="F452" s="45">
        <v>-1</v>
      </c>
      <c r="G452" s="32" t="s">
        <v>668</v>
      </c>
      <c r="H452" s="32" t="b">
        <v>1</v>
      </c>
    </row>
    <row r="453" spans="1:8">
      <c r="A453" s="32" t="s">
        <v>492</v>
      </c>
      <c r="B453" s="32" t="s">
        <v>590</v>
      </c>
      <c r="C453" s="32" t="s">
        <v>667</v>
      </c>
      <c r="D453" s="32">
        <v>185</v>
      </c>
      <c r="E453" s="32">
        <v>181</v>
      </c>
      <c r="F453" s="45">
        <v>-2.1999999999999999E-2</v>
      </c>
      <c r="G453" s="32" t="s">
        <v>670</v>
      </c>
      <c r="H453" s="32" t="b">
        <v>1</v>
      </c>
    </row>
    <row r="454" spans="1:8">
      <c r="A454" s="32" t="s">
        <v>493</v>
      </c>
      <c r="B454" s="32" t="s">
        <v>590</v>
      </c>
      <c r="C454" s="32" t="s">
        <v>667</v>
      </c>
      <c r="D454" s="32">
        <v>983</v>
      </c>
      <c r="E454" s="32">
        <v>851</v>
      </c>
      <c r="F454" s="45">
        <v>-0.13400000000000001</v>
      </c>
      <c r="G454" s="32" t="s">
        <v>668</v>
      </c>
      <c r="H454" s="32" t="b">
        <v>1</v>
      </c>
    </row>
    <row r="455" spans="1:8">
      <c r="A455" s="32" t="s">
        <v>494</v>
      </c>
      <c r="B455" s="32" t="s">
        <v>590</v>
      </c>
      <c r="C455" s="32" t="s">
        <v>667</v>
      </c>
      <c r="D455" s="32">
        <v>130</v>
      </c>
      <c r="E455" s="32">
        <v>104</v>
      </c>
      <c r="F455" s="45">
        <v>-0.2</v>
      </c>
      <c r="G455" s="32" t="s">
        <v>668</v>
      </c>
      <c r="H455" s="32" t="b">
        <v>1</v>
      </c>
    </row>
    <row r="456" spans="1:8">
      <c r="A456" s="32" t="s">
        <v>495</v>
      </c>
      <c r="B456" s="32" t="s">
        <v>590</v>
      </c>
      <c r="C456" s="32" t="s">
        <v>667</v>
      </c>
      <c r="D456" s="32">
        <v>587</v>
      </c>
      <c r="E456" s="32">
        <v>410</v>
      </c>
      <c r="F456" s="45">
        <v>-0.30199999999999999</v>
      </c>
      <c r="G456" s="32" t="s">
        <v>668</v>
      </c>
      <c r="H456" s="32" t="b">
        <v>1</v>
      </c>
    </row>
    <row r="457" spans="1:8">
      <c r="A457" s="32" t="s">
        <v>496</v>
      </c>
      <c r="B457" s="32" t="s">
        <v>590</v>
      </c>
      <c r="C457" s="32" t="s">
        <v>667</v>
      </c>
      <c r="D457" s="32">
        <v>702</v>
      </c>
      <c r="E457" s="32">
        <v>599</v>
      </c>
      <c r="F457" s="45">
        <v>-0.14699999999999999</v>
      </c>
      <c r="G457" s="32" t="s">
        <v>668</v>
      </c>
      <c r="H457" s="32" t="b">
        <v>1</v>
      </c>
    </row>
    <row r="458" spans="1:8">
      <c r="A458" s="32" t="s">
        <v>497</v>
      </c>
      <c r="B458" s="32" t="s">
        <v>590</v>
      </c>
      <c r="C458" s="32" t="s">
        <v>667</v>
      </c>
      <c r="D458" s="32">
        <v>1024</v>
      </c>
      <c r="E458" s="32">
        <v>761</v>
      </c>
      <c r="F458" s="45">
        <v>-0.25700000000000001</v>
      </c>
      <c r="G458" s="32" t="s">
        <v>668</v>
      </c>
      <c r="H458" s="32" t="b">
        <v>1</v>
      </c>
    </row>
    <row r="459" spans="1:8">
      <c r="A459" s="32" t="s">
        <v>498</v>
      </c>
      <c r="B459" s="32" t="s">
        <v>590</v>
      </c>
      <c r="C459" s="32" t="s">
        <v>667</v>
      </c>
      <c r="D459" s="32">
        <v>864</v>
      </c>
      <c r="E459" s="32">
        <v>771</v>
      </c>
      <c r="F459" s="45">
        <v>-0.108</v>
      </c>
      <c r="G459" s="32" t="s">
        <v>668</v>
      </c>
      <c r="H459" s="32" t="b">
        <v>1</v>
      </c>
    </row>
    <row r="460" spans="1:8">
      <c r="A460" s="32" t="s">
        <v>499</v>
      </c>
      <c r="B460" s="32" t="s">
        <v>590</v>
      </c>
      <c r="C460" s="32" t="s">
        <v>667</v>
      </c>
      <c r="D460" s="32">
        <v>198</v>
      </c>
      <c r="E460" s="32">
        <v>169</v>
      </c>
      <c r="F460" s="45">
        <v>-0.14599999999999999</v>
      </c>
      <c r="G460" s="32" t="s">
        <v>668</v>
      </c>
      <c r="H460" s="32" t="b">
        <v>1</v>
      </c>
    </row>
    <row r="461" spans="1:8">
      <c r="A461" s="32" t="s">
        <v>500</v>
      </c>
      <c r="B461" s="32" t="s">
        <v>590</v>
      </c>
      <c r="C461" s="32" t="s">
        <v>667</v>
      </c>
      <c r="D461" s="32">
        <v>335</v>
      </c>
      <c r="E461" s="32">
        <v>257</v>
      </c>
      <c r="F461" s="45">
        <v>-0.23300000000000001</v>
      </c>
      <c r="G461" s="32" t="s">
        <v>668</v>
      </c>
      <c r="H461" s="32" t="b">
        <v>1</v>
      </c>
    </row>
    <row r="462" spans="1:8">
      <c r="A462" s="32" t="s">
        <v>501</v>
      </c>
      <c r="B462" s="32" t="s">
        <v>592</v>
      </c>
      <c r="C462" s="32" t="s">
        <v>667</v>
      </c>
      <c r="D462" s="32">
        <v>727</v>
      </c>
      <c r="E462" s="32">
        <v>556</v>
      </c>
      <c r="F462" s="45">
        <v>-0.23499999999999999</v>
      </c>
      <c r="G462" s="32" t="s">
        <v>668</v>
      </c>
      <c r="H462" s="32" t="b">
        <v>1</v>
      </c>
    </row>
    <row r="463" spans="1:8">
      <c r="A463" s="32" t="s">
        <v>502</v>
      </c>
      <c r="B463" s="32" t="s">
        <v>584</v>
      </c>
      <c r="C463" s="32" t="s">
        <v>667</v>
      </c>
      <c r="D463" s="32">
        <v>1024</v>
      </c>
      <c r="E463" s="32">
        <v>998</v>
      </c>
      <c r="F463" s="45">
        <v>-2.5000000000000001E-2</v>
      </c>
      <c r="G463" s="32" t="s">
        <v>670</v>
      </c>
      <c r="H463" s="32" t="b">
        <v>1</v>
      </c>
    </row>
    <row r="464" spans="1:8">
      <c r="A464" s="32" t="s">
        <v>503</v>
      </c>
      <c r="B464" s="32" t="s">
        <v>584</v>
      </c>
      <c r="C464" s="32" t="s">
        <v>667</v>
      </c>
      <c r="D464" s="32">
        <v>1327</v>
      </c>
      <c r="E464" s="32">
        <v>1187</v>
      </c>
      <c r="F464" s="45">
        <v>-0.106</v>
      </c>
      <c r="G464" s="32" t="s">
        <v>668</v>
      </c>
      <c r="H464" s="32" t="b">
        <v>1</v>
      </c>
    </row>
    <row r="465" spans="1:8">
      <c r="A465" s="32" t="s">
        <v>504</v>
      </c>
      <c r="B465" s="32" t="s">
        <v>584</v>
      </c>
      <c r="C465" s="32" t="s">
        <v>667</v>
      </c>
      <c r="D465" s="32">
        <v>238</v>
      </c>
      <c r="E465" s="32">
        <v>130</v>
      </c>
      <c r="F465" s="45">
        <v>-0.45400000000000001</v>
      </c>
      <c r="G465" s="32" t="s">
        <v>668</v>
      </c>
      <c r="H465" s="32" t="b">
        <v>1</v>
      </c>
    </row>
    <row r="466" spans="1:8">
      <c r="A466" s="32" t="s">
        <v>505</v>
      </c>
      <c r="B466" s="32" t="s">
        <v>584</v>
      </c>
      <c r="C466" s="32" t="s">
        <v>667</v>
      </c>
      <c r="D466" s="32">
        <v>104</v>
      </c>
      <c r="E466" s="32">
        <v>73</v>
      </c>
      <c r="F466" s="45">
        <v>-0.29799999999999999</v>
      </c>
      <c r="G466" s="32" t="s">
        <v>668</v>
      </c>
      <c r="H466" s="32" t="b">
        <v>1</v>
      </c>
    </row>
    <row r="467" spans="1:8">
      <c r="A467" s="32" t="s">
        <v>506</v>
      </c>
      <c r="B467" s="32" t="s">
        <v>584</v>
      </c>
      <c r="C467" s="32" t="s">
        <v>667</v>
      </c>
      <c r="D467" s="32">
        <v>1498</v>
      </c>
      <c r="E467" s="32">
        <v>1480</v>
      </c>
      <c r="F467" s="45">
        <v>-1.2E-2</v>
      </c>
      <c r="G467" s="32" t="s">
        <v>670</v>
      </c>
      <c r="H467" s="32" t="b">
        <v>0</v>
      </c>
    </row>
    <row r="468" spans="1:8">
      <c r="A468" s="32" t="s">
        <v>507</v>
      </c>
      <c r="B468" s="32" t="s">
        <v>584</v>
      </c>
      <c r="C468" s="32" t="s">
        <v>667</v>
      </c>
      <c r="D468" s="32">
        <v>1514</v>
      </c>
      <c r="E468" s="32">
        <v>1528</v>
      </c>
      <c r="F468" s="45">
        <v>8.9999999999999993E-3</v>
      </c>
      <c r="G468" s="32" t="s">
        <v>669</v>
      </c>
      <c r="H468" s="32" t="b">
        <v>0</v>
      </c>
    </row>
    <row r="469" spans="1:8">
      <c r="A469" s="32" t="s">
        <v>508</v>
      </c>
      <c r="B469" s="32" t="s">
        <v>586</v>
      </c>
      <c r="C469" s="32" t="s">
        <v>667</v>
      </c>
      <c r="D469" s="32">
        <v>2133</v>
      </c>
      <c r="E469" s="32">
        <v>2101</v>
      </c>
      <c r="F469" s="45">
        <v>-1.4999999999999999E-2</v>
      </c>
      <c r="G469" s="32" t="s">
        <v>670</v>
      </c>
      <c r="H469" s="32" t="b">
        <v>1</v>
      </c>
    </row>
    <row r="470" spans="1:8">
      <c r="A470" s="32" t="s">
        <v>509</v>
      </c>
      <c r="B470" s="32" t="s">
        <v>586</v>
      </c>
      <c r="C470" s="32" t="s">
        <v>667</v>
      </c>
      <c r="D470" s="32">
        <v>227</v>
      </c>
      <c r="E470" s="32">
        <v>104</v>
      </c>
      <c r="F470" s="45">
        <v>-0.54200000000000004</v>
      </c>
      <c r="G470" s="32" t="s">
        <v>668</v>
      </c>
      <c r="H470" s="32" t="b">
        <v>1</v>
      </c>
    </row>
    <row r="471" spans="1:8">
      <c r="A471" s="32" t="s">
        <v>510</v>
      </c>
      <c r="B471" s="32" t="s">
        <v>586</v>
      </c>
      <c r="C471" s="32" t="s">
        <v>667</v>
      </c>
      <c r="D471" s="32">
        <v>2079</v>
      </c>
      <c r="E471" s="32">
        <v>2041</v>
      </c>
      <c r="F471" s="45">
        <v>-1.7999999999999999E-2</v>
      </c>
      <c r="G471" s="32" t="s">
        <v>670</v>
      </c>
      <c r="H471" s="32" t="b">
        <v>1</v>
      </c>
    </row>
    <row r="472" spans="1:8">
      <c r="A472" s="32" t="s">
        <v>511</v>
      </c>
      <c r="B472" s="32" t="s">
        <v>586</v>
      </c>
      <c r="C472" s="32" t="s">
        <v>667</v>
      </c>
      <c r="D472" s="32">
        <v>3275</v>
      </c>
      <c r="E472" s="32">
        <v>3168</v>
      </c>
      <c r="F472" s="45">
        <v>-3.3000000000000002E-2</v>
      </c>
      <c r="G472" s="32" t="s">
        <v>670</v>
      </c>
      <c r="H472" s="32" t="b">
        <v>1</v>
      </c>
    </row>
    <row r="473" spans="1:8">
      <c r="A473" s="32" t="s">
        <v>512</v>
      </c>
      <c r="B473" s="32" t="s">
        <v>588</v>
      </c>
      <c r="C473" s="32" t="s">
        <v>667</v>
      </c>
      <c r="D473" s="32">
        <v>1325</v>
      </c>
      <c r="E473" s="32">
        <v>1223</v>
      </c>
      <c r="F473" s="45">
        <v>-7.6999999999999999E-2</v>
      </c>
      <c r="G473" s="32" t="s">
        <v>668</v>
      </c>
      <c r="H473" s="32" t="b">
        <v>1</v>
      </c>
    </row>
    <row r="474" spans="1:8">
      <c r="A474" s="32" t="s">
        <v>513</v>
      </c>
      <c r="B474" s="32" t="s">
        <v>588</v>
      </c>
      <c r="C474" s="32" t="s">
        <v>667</v>
      </c>
      <c r="D474" s="32">
        <v>2506</v>
      </c>
      <c r="E474" s="32">
        <v>2356</v>
      </c>
      <c r="F474" s="45">
        <v>-0.06</v>
      </c>
      <c r="G474" s="32" t="s">
        <v>668</v>
      </c>
      <c r="H474" s="32" t="b">
        <v>1</v>
      </c>
    </row>
    <row r="475" spans="1:8">
      <c r="A475" s="32" t="s">
        <v>514</v>
      </c>
      <c r="B475" s="32" t="s">
        <v>588</v>
      </c>
      <c r="C475" s="32" t="s">
        <v>667</v>
      </c>
      <c r="D475" s="32">
        <v>1414</v>
      </c>
      <c r="E475" s="32">
        <v>1352</v>
      </c>
      <c r="F475" s="45">
        <v>-4.3999999999999997E-2</v>
      </c>
      <c r="G475" s="32" t="s">
        <v>670</v>
      </c>
      <c r="H475" s="32" t="b">
        <v>1</v>
      </c>
    </row>
    <row r="476" spans="1:8">
      <c r="A476" s="32" t="s">
        <v>515</v>
      </c>
      <c r="B476" s="32" t="s">
        <v>588</v>
      </c>
      <c r="C476" s="32" t="s">
        <v>667</v>
      </c>
      <c r="D476" s="32">
        <v>1051</v>
      </c>
      <c r="E476" s="32">
        <v>997</v>
      </c>
      <c r="F476" s="45">
        <v>-5.0999999999999997E-2</v>
      </c>
      <c r="G476" s="32" t="s">
        <v>668</v>
      </c>
      <c r="H476" s="32" t="b">
        <v>1</v>
      </c>
    </row>
    <row r="477" spans="1:8">
      <c r="A477" s="32" t="s">
        <v>516</v>
      </c>
      <c r="B477" s="32" t="s">
        <v>588</v>
      </c>
      <c r="C477" s="32" t="s">
        <v>667</v>
      </c>
      <c r="D477" s="32">
        <v>2195</v>
      </c>
      <c r="E477" s="32">
        <v>2089</v>
      </c>
      <c r="F477" s="45">
        <v>-4.8000000000000001E-2</v>
      </c>
      <c r="G477" s="32" t="s">
        <v>670</v>
      </c>
      <c r="H477" s="32" t="b">
        <v>1</v>
      </c>
    </row>
    <row r="478" spans="1:8">
      <c r="A478" s="32" t="s">
        <v>517</v>
      </c>
      <c r="B478" s="32" t="s">
        <v>588</v>
      </c>
      <c r="C478" s="32" t="s">
        <v>667</v>
      </c>
      <c r="D478" s="32">
        <v>1853</v>
      </c>
      <c r="E478" s="32">
        <v>1798</v>
      </c>
      <c r="F478" s="45">
        <v>-0.03</v>
      </c>
      <c r="G478" s="32" t="s">
        <v>670</v>
      </c>
      <c r="H478" s="32" t="b">
        <v>1</v>
      </c>
    </row>
    <row r="479" spans="1:8">
      <c r="A479" s="32" t="s">
        <v>518</v>
      </c>
      <c r="B479" s="32" t="s">
        <v>588</v>
      </c>
      <c r="C479" s="32" t="s">
        <v>667</v>
      </c>
      <c r="D479" s="32">
        <v>886</v>
      </c>
      <c r="E479" s="32">
        <v>859</v>
      </c>
      <c r="F479" s="45">
        <v>-0.03</v>
      </c>
      <c r="G479" s="32" t="s">
        <v>670</v>
      </c>
      <c r="H479" s="32" t="b">
        <v>1</v>
      </c>
    </row>
    <row r="480" spans="1:8">
      <c r="A480" s="32" t="s">
        <v>519</v>
      </c>
      <c r="B480" s="32" t="s">
        <v>588</v>
      </c>
      <c r="C480" s="32" t="s">
        <v>667</v>
      </c>
      <c r="D480" s="32">
        <v>892</v>
      </c>
      <c r="E480" s="32">
        <v>876</v>
      </c>
      <c r="F480" s="45">
        <v>-1.7999999999999999E-2</v>
      </c>
      <c r="G480" s="32" t="s">
        <v>670</v>
      </c>
      <c r="H480" s="32" t="b">
        <v>1</v>
      </c>
    </row>
    <row r="481" spans="1:8">
      <c r="A481" s="32" t="s">
        <v>520</v>
      </c>
      <c r="B481" s="32" t="s">
        <v>588</v>
      </c>
      <c r="C481" s="32" t="s">
        <v>667</v>
      </c>
      <c r="D481" s="32">
        <v>654</v>
      </c>
      <c r="E481" s="32">
        <v>785</v>
      </c>
      <c r="F481" s="45">
        <v>0.2</v>
      </c>
      <c r="G481" s="32" t="s">
        <v>669</v>
      </c>
      <c r="H481" s="32" t="b">
        <v>0</v>
      </c>
    </row>
    <row r="482" spans="1:8">
      <c r="A482" s="32" t="s">
        <v>521</v>
      </c>
      <c r="B482" s="32" t="s">
        <v>588</v>
      </c>
      <c r="C482" s="32" t="s">
        <v>667</v>
      </c>
      <c r="D482" s="32">
        <v>802</v>
      </c>
      <c r="E482" s="32">
        <v>654</v>
      </c>
      <c r="F482" s="45">
        <v>-0.185</v>
      </c>
      <c r="G482" s="32" t="s">
        <v>668</v>
      </c>
      <c r="H482" s="32" t="b">
        <v>1</v>
      </c>
    </row>
    <row r="483" spans="1:8">
      <c r="A483" s="32" t="s">
        <v>623</v>
      </c>
      <c r="B483" s="32" t="s">
        <v>584</v>
      </c>
      <c r="C483" s="32" t="s">
        <v>667</v>
      </c>
      <c r="D483" s="32">
        <v>1511</v>
      </c>
      <c r="E483" s="32">
        <v>1629</v>
      </c>
      <c r="F483" s="45">
        <v>7.8E-2</v>
      </c>
      <c r="G483" s="32" t="s">
        <v>669</v>
      </c>
      <c r="H483" s="32" t="b">
        <v>0</v>
      </c>
    </row>
    <row r="484" spans="1:8">
      <c r="A484" s="32" t="s">
        <v>523</v>
      </c>
      <c r="B484" s="32" t="s">
        <v>584</v>
      </c>
      <c r="C484" s="32" t="s">
        <v>667</v>
      </c>
      <c r="D484" s="32">
        <v>1845</v>
      </c>
      <c r="E484" s="32">
        <v>1822</v>
      </c>
      <c r="F484" s="45">
        <v>-1.2E-2</v>
      </c>
      <c r="G484" s="32" t="s">
        <v>670</v>
      </c>
      <c r="H484" s="32" t="b">
        <v>0</v>
      </c>
    </row>
    <row r="485" spans="1:8">
      <c r="A485" s="32" t="s">
        <v>524</v>
      </c>
      <c r="B485" s="32" t="s">
        <v>584</v>
      </c>
      <c r="C485" s="32" t="s">
        <v>667</v>
      </c>
      <c r="D485" s="32">
        <v>2170</v>
      </c>
      <c r="E485" s="32">
        <v>2183</v>
      </c>
      <c r="F485" s="45">
        <v>6.0000000000000001E-3</v>
      </c>
      <c r="G485" s="32" t="s">
        <v>669</v>
      </c>
      <c r="H485" s="32" t="b">
        <v>0</v>
      </c>
    </row>
    <row r="486" spans="1:8">
      <c r="A486" s="32" t="s">
        <v>525</v>
      </c>
      <c r="B486" s="32" t="s">
        <v>584</v>
      </c>
      <c r="C486" s="32" t="s">
        <v>667</v>
      </c>
      <c r="D486" s="32">
        <v>52</v>
      </c>
      <c r="E486" s="32">
        <v>51</v>
      </c>
      <c r="F486" s="45">
        <v>-1.9E-2</v>
      </c>
      <c r="G486" s="32" t="s">
        <v>670</v>
      </c>
      <c r="H486" s="32" t="b">
        <v>1</v>
      </c>
    </row>
    <row r="487" spans="1:8">
      <c r="A487" s="32" t="s">
        <v>526</v>
      </c>
      <c r="B487" s="32" t="s">
        <v>584</v>
      </c>
      <c r="C487" s="32" t="s">
        <v>667</v>
      </c>
      <c r="D487" s="32">
        <v>234</v>
      </c>
      <c r="E487" s="32">
        <v>258</v>
      </c>
      <c r="F487" s="45">
        <v>0.10299999999999999</v>
      </c>
      <c r="G487" s="32" t="s">
        <v>669</v>
      </c>
      <c r="H487" s="32" t="b">
        <v>0</v>
      </c>
    </row>
    <row r="488" spans="1:8">
      <c r="A488" s="32" t="s">
        <v>527</v>
      </c>
      <c r="B488" s="32" t="s">
        <v>584</v>
      </c>
      <c r="C488" s="32" t="s">
        <v>667</v>
      </c>
      <c r="D488" s="32">
        <v>764</v>
      </c>
      <c r="E488" s="32">
        <v>589</v>
      </c>
      <c r="F488" s="45">
        <v>-0.22900000000000001</v>
      </c>
      <c r="G488" s="32" t="s">
        <v>668</v>
      </c>
      <c r="H488" s="32" t="b">
        <v>1</v>
      </c>
    </row>
    <row r="489" spans="1:8">
      <c r="A489" s="32" t="s">
        <v>528</v>
      </c>
      <c r="B489" s="32" t="s">
        <v>584</v>
      </c>
      <c r="C489" s="32" t="s">
        <v>667</v>
      </c>
      <c r="D489" s="32">
        <v>2923</v>
      </c>
      <c r="E489" s="32">
        <v>2933</v>
      </c>
      <c r="F489" s="45">
        <v>3.0000000000000001E-3</v>
      </c>
      <c r="G489" s="32" t="s">
        <v>669</v>
      </c>
      <c r="H489" s="32" t="b">
        <v>0</v>
      </c>
    </row>
    <row r="490" spans="1:8">
      <c r="A490" s="32" t="s">
        <v>529</v>
      </c>
      <c r="B490" s="32" t="s">
        <v>584</v>
      </c>
      <c r="C490" s="32" t="s">
        <v>667</v>
      </c>
      <c r="D490" s="32">
        <v>1001</v>
      </c>
      <c r="E490" s="32">
        <v>1036</v>
      </c>
      <c r="F490" s="45">
        <v>3.5000000000000003E-2</v>
      </c>
      <c r="G490" s="32" t="s">
        <v>669</v>
      </c>
      <c r="H490" s="32" t="b">
        <v>0</v>
      </c>
    </row>
    <row r="491" spans="1:8">
      <c r="A491" s="32" t="s">
        <v>530</v>
      </c>
      <c r="B491" s="32" t="s">
        <v>584</v>
      </c>
      <c r="C491" s="32" t="s">
        <v>667</v>
      </c>
      <c r="D491" s="32">
        <v>740</v>
      </c>
      <c r="E491" s="32">
        <v>1001</v>
      </c>
      <c r="F491" s="45">
        <v>0.35299999999999998</v>
      </c>
      <c r="G491" s="32" t="s">
        <v>669</v>
      </c>
      <c r="H491" s="32" t="b">
        <v>0</v>
      </c>
    </row>
    <row r="492" spans="1:8">
      <c r="A492" s="32" t="s">
        <v>531</v>
      </c>
      <c r="B492" s="32" t="s">
        <v>584</v>
      </c>
      <c r="C492" s="32" t="s">
        <v>667</v>
      </c>
      <c r="D492" s="32">
        <v>982</v>
      </c>
      <c r="E492" s="32">
        <v>1026</v>
      </c>
      <c r="F492" s="45">
        <v>4.4999999999999998E-2</v>
      </c>
      <c r="G492" s="32" t="s">
        <v>669</v>
      </c>
      <c r="H492" s="32" t="b">
        <v>0</v>
      </c>
    </row>
    <row r="493" spans="1:8">
      <c r="A493" s="32" t="s">
        <v>532</v>
      </c>
      <c r="B493" s="32" t="s">
        <v>584</v>
      </c>
      <c r="C493" s="32" t="s">
        <v>667</v>
      </c>
      <c r="D493" s="32">
        <v>1576</v>
      </c>
      <c r="E493" s="32">
        <v>1591</v>
      </c>
      <c r="F493" s="45">
        <v>0.01</v>
      </c>
      <c r="G493" s="32" t="s">
        <v>669</v>
      </c>
      <c r="H493" s="32" t="b">
        <v>0</v>
      </c>
    </row>
    <row r="494" spans="1:8">
      <c r="A494" s="32" t="s">
        <v>533</v>
      </c>
      <c r="B494" s="32" t="s">
        <v>584</v>
      </c>
      <c r="C494" s="32" t="s">
        <v>667</v>
      </c>
      <c r="D494" s="32">
        <v>2077</v>
      </c>
      <c r="E494" s="32">
        <v>2023</v>
      </c>
      <c r="F494" s="45">
        <v>-2.5999999999999999E-2</v>
      </c>
      <c r="G494" s="32" t="s">
        <v>670</v>
      </c>
      <c r="H494" s="32" t="b">
        <v>1</v>
      </c>
    </row>
    <row r="495" spans="1:8">
      <c r="A495" s="32" t="s">
        <v>534</v>
      </c>
      <c r="B495" s="32" t="s">
        <v>584</v>
      </c>
      <c r="C495" s="32" t="s">
        <v>667</v>
      </c>
      <c r="D495" s="32">
        <v>1862</v>
      </c>
      <c r="E495" s="32">
        <v>1849</v>
      </c>
      <c r="F495" s="45">
        <v>-7.0000000000000001E-3</v>
      </c>
      <c r="G495" s="32" t="s">
        <v>670</v>
      </c>
      <c r="H495" s="32" t="b">
        <v>0</v>
      </c>
    </row>
    <row r="496" spans="1:8">
      <c r="A496" s="32" t="s">
        <v>535</v>
      </c>
      <c r="B496" s="32" t="s">
        <v>584</v>
      </c>
      <c r="C496" s="32" t="s">
        <v>667</v>
      </c>
      <c r="D496" s="32">
        <v>692</v>
      </c>
      <c r="E496" s="32">
        <v>689</v>
      </c>
      <c r="F496" s="45">
        <v>-4.0000000000000001E-3</v>
      </c>
      <c r="G496" s="32" t="s">
        <v>670</v>
      </c>
      <c r="H496" s="32" t="b">
        <v>0</v>
      </c>
    </row>
    <row r="497" spans="1:8">
      <c r="A497" s="32" t="s">
        <v>536</v>
      </c>
      <c r="B497" s="32" t="s">
        <v>584</v>
      </c>
      <c r="C497" s="32" t="s">
        <v>667</v>
      </c>
      <c r="D497" s="32">
        <v>2206</v>
      </c>
      <c r="E497" s="32">
        <v>2111</v>
      </c>
      <c r="F497" s="45">
        <v>-4.2999999999999997E-2</v>
      </c>
      <c r="G497" s="32" t="s">
        <v>670</v>
      </c>
      <c r="H497" s="32" t="b">
        <v>1</v>
      </c>
    </row>
    <row r="498" spans="1:8">
      <c r="A498" s="32" t="s">
        <v>537</v>
      </c>
      <c r="B498" s="32" t="s">
        <v>584</v>
      </c>
      <c r="C498" s="32" t="s">
        <v>667</v>
      </c>
      <c r="D498" s="32">
        <v>493</v>
      </c>
      <c r="E498" s="32">
        <v>307</v>
      </c>
      <c r="F498" s="45">
        <v>-0.377</v>
      </c>
      <c r="G498" s="32" t="s">
        <v>668</v>
      </c>
      <c r="H498" s="32" t="b">
        <v>1</v>
      </c>
    </row>
    <row r="499" spans="1:8">
      <c r="A499" s="32" t="s">
        <v>538</v>
      </c>
      <c r="B499" s="32" t="s">
        <v>588</v>
      </c>
      <c r="C499" s="32" t="s">
        <v>667</v>
      </c>
      <c r="D499" s="32">
        <v>791</v>
      </c>
      <c r="E499" s="32">
        <v>610</v>
      </c>
      <c r="F499" s="45">
        <v>-0.22900000000000001</v>
      </c>
      <c r="G499" s="32" t="s">
        <v>668</v>
      </c>
      <c r="H499" s="32" t="b">
        <v>1</v>
      </c>
    </row>
    <row r="500" spans="1:8">
      <c r="A500" s="32" t="s">
        <v>539</v>
      </c>
      <c r="B500" s="32" t="s">
        <v>588</v>
      </c>
      <c r="C500" s="32" t="s">
        <v>667</v>
      </c>
      <c r="D500" s="32">
        <v>1798</v>
      </c>
      <c r="E500" s="32">
        <v>1697</v>
      </c>
      <c r="F500" s="45">
        <v>-5.6000000000000001E-2</v>
      </c>
      <c r="G500" s="32" t="s">
        <v>668</v>
      </c>
      <c r="H500" s="32" t="b">
        <v>1</v>
      </c>
    </row>
    <row r="501" spans="1:8">
      <c r="A501" s="32" t="s">
        <v>540</v>
      </c>
      <c r="B501" s="32" t="s">
        <v>588</v>
      </c>
      <c r="C501" s="32" t="s">
        <v>667</v>
      </c>
      <c r="D501" s="32">
        <v>1668</v>
      </c>
      <c r="E501" s="32">
        <v>1672</v>
      </c>
      <c r="F501" s="45">
        <v>2E-3</v>
      </c>
      <c r="G501" s="32" t="s">
        <v>669</v>
      </c>
      <c r="H501" s="32" t="b">
        <v>0</v>
      </c>
    </row>
    <row r="502" spans="1:8">
      <c r="A502" s="32" t="s">
        <v>541</v>
      </c>
      <c r="B502" s="32" t="s">
        <v>588</v>
      </c>
      <c r="C502" s="32" t="s">
        <v>667</v>
      </c>
      <c r="D502" s="32">
        <v>4026</v>
      </c>
      <c r="E502" s="32">
        <v>4402</v>
      </c>
      <c r="F502" s="45">
        <v>9.2999999999999999E-2</v>
      </c>
      <c r="G502" s="32" t="s">
        <v>669</v>
      </c>
      <c r="H502" s="32" t="b">
        <v>0</v>
      </c>
    </row>
    <row r="503" spans="1:8">
      <c r="A503" s="32" t="s">
        <v>542</v>
      </c>
      <c r="B503" s="32" t="s">
        <v>588</v>
      </c>
      <c r="C503" s="32" t="s">
        <v>667</v>
      </c>
      <c r="D503" s="32">
        <v>2550</v>
      </c>
      <c r="E503" s="32">
        <v>2593</v>
      </c>
      <c r="F503" s="45">
        <v>1.7000000000000001E-2</v>
      </c>
      <c r="G503" s="32" t="s">
        <v>669</v>
      </c>
      <c r="H503" s="32" t="b">
        <v>0</v>
      </c>
    </row>
    <row r="504" spans="1:8">
      <c r="A504" s="32" t="s">
        <v>543</v>
      </c>
      <c r="B504" s="32" t="s">
        <v>588</v>
      </c>
      <c r="C504" s="32" t="s">
        <v>667</v>
      </c>
      <c r="D504" s="32">
        <v>1751</v>
      </c>
      <c r="E504" s="32">
        <v>1757</v>
      </c>
      <c r="F504" s="45">
        <v>3.0000000000000001E-3</v>
      </c>
      <c r="G504" s="32" t="s">
        <v>669</v>
      </c>
      <c r="H504" s="32" t="b">
        <v>0</v>
      </c>
    </row>
    <row r="505" spans="1:8">
      <c r="A505" s="32" t="s">
        <v>545</v>
      </c>
      <c r="B505" s="32" t="s">
        <v>588</v>
      </c>
      <c r="C505" s="32" t="s">
        <v>667</v>
      </c>
      <c r="D505" s="32">
        <v>1842</v>
      </c>
      <c r="E505" s="32">
        <v>1772</v>
      </c>
      <c r="F505" s="45">
        <v>-3.7999999999999999E-2</v>
      </c>
      <c r="G505" s="32" t="s">
        <v>670</v>
      </c>
      <c r="H505" s="32" t="b">
        <v>1</v>
      </c>
    </row>
    <row r="506" spans="1:8">
      <c r="A506" s="32" t="s">
        <v>546</v>
      </c>
      <c r="B506" s="32" t="s">
        <v>588</v>
      </c>
      <c r="C506" s="32" t="s">
        <v>667</v>
      </c>
      <c r="D506" s="32">
        <v>1970</v>
      </c>
      <c r="E506" s="32">
        <v>1957</v>
      </c>
      <c r="F506" s="45">
        <v>-7.0000000000000001E-3</v>
      </c>
      <c r="G506" s="32" t="s">
        <v>670</v>
      </c>
      <c r="H506" s="32" t="b">
        <v>0</v>
      </c>
    </row>
    <row r="507" spans="1:8">
      <c r="A507" s="32" t="s">
        <v>547</v>
      </c>
      <c r="B507" s="32" t="s">
        <v>588</v>
      </c>
      <c r="C507" s="32" t="s">
        <v>667</v>
      </c>
      <c r="D507" s="32">
        <v>230</v>
      </c>
      <c r="E507" s="32">
        <v>247</v>
      </c>
      <c r="F507" s="45">
        <v>7.3999999999999996E-2</v>
      </c>
      <c r="G507" s="32" t="s">
        <v>669</v>
      </c>
      <c r="H507" s="32" t="b">
        <v>0</v>
      </c>
    </row>
    <row r="508" spans="1:8">
      <c r="A508" s="32" t="s">
        <v>548</v>
      </c>
      <c r="B508" s="32" t="s">
        <v>592</v>
      </c>
      <c r="C508" s="32" t="s">
        <v>667</v>
      </c>
      <c r="D508" s="32">
        <v>851</v>
      </c>
      <c r="E508" s="32">
        <v>842</v>
      </c>
      <c r="F508" s="45">
        <v>-1.0999999999999999E-2</v>
      </c>
      <c r="G508" s="32" t="s">
        <v>670</v>
      </c>
      <c r="H508" s="32" t="b">
        <v>0</v>
      </c>
    </row>
    <row r="509" spans="1:8">
      <c r="A509" s="32" t="s">
        <v>549</v>
      </c>
      <c r="B509" s="32" t="s">
        <v>584</v>
      </c>
      <c r="C509" s="32" t="s">
        <v>667</v>
      </c>
      <c r="D509" s="32">
        <v>470</v>
      </c>
      <c r="E509" s="32">
        <v>479</v>
      </c>
      <c r="F509" s="45">
        <v>1.9E-2</v>
      </c>
      <c r="G509" s="32" t="s">
        <v>669</v>
      </c>
      <c r="H509" s="32" t="b">
        <v>0</v>
      </c>
    </row>
    <row r="510" spans="1:8">
      <c r="A510" s="32" t="s">
        <v>550</v>
      </c>
      <c r="B510" s="32" t="s">
        <v>584</v>
      </c>
      <c r="C510" s="32" t="s">
        <v>667</v>
      </c>
      <c r="D510" s="32">
        <v>1328</v>
      </c>
      <c r="E510" s="32">
        <v>1243</v>
      </c>
      <c r="F510" s="45">
        <v>-6.4000000000000001E-2</v>
      </c>
      <c r="G510" s="32" t="s">
        <v>668</v>
      </c>
      <c r="H510" s="32" t="b">
        <v>1</v>
      </c>
    </row>
    <row r="511" spans="1:8">
      <c r="A511" s="32" t="s">
        <v>551</v>
      </c>
      <c r="B511" s="32" t="s">
        <v>584</v>
      </c>
      <c r="C511" s="32" t="s">
        <v>667</v>
      </c>
      <c r="D511" s="32">
        <v>435</v>
      </c>
      <c r="E511" s="32">
        <v>458</v>
      </c>
      <c r="F511" s="45">
        <v>5.2999999999999999E-2</v>
      </c>
      <c r="G511" s="32" t="s">
        <v>669</v>
      </c>
      <c r="H511" s="32" t="b">
        <v>0</v>
      </c>
    </row>
    <row r="512" spans="1:8">
      <c r="A512" s="32" t="s">
        <v>553</v>
      </c>
      <c r="B512" s="32" t="s">
        <v>586</v>
      </c>
      <c r="C512" s="32" t="s">
        <v>667</v>
      </c>
      <c r="D512" s="32">
        <v>355</v>
      </c>
      <c r="E512" s="32">
        <v>349</v>
      </c>
      <c r="F512" s="45">
        <v>-1.7000000000000001E-2</v>
      </c>
      <c r="G512" s="32" t="s">
        <v>670</v>
      </c>
      <c r="H512" s="32" t="b">
        <v>1</v>
      </c>
    </row>
    <row r="513" spans="1:8">
      <c r="A513" s="32" t="s">
        <v>554</v>
      </c>
      <c r="B513" s="32" t="s">
        <v>588</v>
      </c>
      <c r="C513" s="32" t="s">
        <v>667</v>
      </c>
      <c r="D513" s="32">
        <v>8</v>
      </c>
      <c r="E513" s="32">
        <v>19</v>
      </c>
      <c r="F513" s="45">
        <v>1.375</v>
      </c>
      <c r="G513" s="32" t="s">
        <v>669</v>
      </c>
      <c r="H513" s="32" t="b">
        <v>0</v>
      </c>
    </row>
    <row r="514" spans="1:8">
      <c r="A514" s="32" t="s">
        <v>555</v>
      </c>
      <c r="B514" s="32" t="s">
        <v>584</v>
      </c>
      <c r="C514" s="32" t="s">
        <v>667</v>
      </c>
      <c r="D514" s="32">
        <v>99</v>
      </c>
      <c r="E514" s="32">
        <v>96</v>
      </c>
      <c r="F514" s="45">
        <v>-0.03</v>
      </c>
      <c r="G514" s="32" t="s">
        <v>670</v>
      </c>
      <c r="H514" s="32" t="b">
        <v>1</v>
      </c>
    </row>
    <row r="515" spans="1:8">
      <c r="A515" s="32" t="s">
        <v>556</v>
      </c>
      <c r="B515" s="32" t="s">
        <v>586</v>
      </c>
      <c r="C515" s="32" t="s">
        <v>667</v>
      </c>
      <c r="D515" s="32">
        <v>13</v>
      </c>
      <c r="E515" s="32">
        <v>15</v>
      </c>
      <c r="F515" s="45">
        <v>0.154</v>
      </c>
      <c r="G515" s="32" t="s">
        <v>669</v>
      </c>
      <c r="H515" s="32" t="b">
        <v>0</v>
      </c>
    </row>
    <row r="516" spans="1:8">
      <c r="A516" s="32" t="s">
        <v>557</v>
      </c>
      <c r="B516" s="32" t="s">
        <v>588</v>
      </c>
      <c r="C516" s="32" t="s">
        <v>667</v>
      </c>
      <c r="D516" s="32">
        <v>79</v>
      </c>
      <c r="E516" s="32">
        <v>67</v>
      </c>
      <c r="F516" s="45">
        <v>-0.152</v>
      </c>
      <c r="G516" s="32" t="s">
        <v>668</v>
      </c>
      <c r="H516" s="32" t="b">
        <v>1</v>
      </c>
    </row>
    <row r="517" spans="1:8">
      <c r="A517" s="32" t="s">
        <v>558</v>
      </c>
      <c r="B517" s="32" t="s">
        <v>590</v>
      </c>
      <c r="C517" s="32" t="s">
        <v>667</v>
      </c>
      <c r="D517" s="32">
        <v>62</v>
      </c>
      <c r="E517" s="32">
        <v>48</v>
      </c>
      <c r="F517" s="45">
        <v>-0.22600000000000001</v>
      </c>
      <c r="G517" s="32" t="s">
        <v>668</v>
      </c>
      <c r="H517" s="32" t="b">
        <v>1</v>
      </c>
    </row>
    <row r="518" spans="1:8">
      <c r="A518" s="32" t="s">
        <v>559</v>
      </c>
      <c r="B518" s="32" t="s">
        <v>584</v>
      </c>
      <c r="C518" s="32" t="s">
        <v>667</v>
      </c>
      <c r="D518" s="32">
        <v>135</v>
      </c>
      <c r="E518" s="32">
        <v>135</v>
      </c>
      <c r="F518" s="45">
        <v>0</v>
      </c>
      <c r="G518" s="32" t="s">
        <v>669</v>
      </c>
      <c r="H518" s="32" t="b">
        <v>0</v>
      </c>
    </row>
    <row r="519" spans="1:8">
      <c r="A519" s="32" t="s">
        <v>560</v>
      </c>
      <c r="B519" s="32" t="s">
        <v>584</v>
      </c>
      <c r="C519" s="32" t="s">
        <v>667</v>
      </c>
      <c r="D519" s="32">
        <v>173</v>
      </c>
      <c r="E519" s="32">
        <v>206</v>
      </c>
      <c r="F519" s="45">
        <v>0.191</v>
      </c>
      <c r="G519" s="32" t="s">
        <v>669</v>
      </c>
      <c r="H519" s="32" t="b">
        <v>0</v>
      </c>
    </row>
    <row r="520" spans="1:8">
      <c r="A520" s="32" t="s">
        <v>561</v>
      </c>
      <c r="B520" s="32" t="s">
        <v>586</v>
      </c>
      <c r="C520" s="32" t="s">
        <v>667</v>
      </c>
      <c r="D520" s="32">
        <v>194</v>
      </c>
      <c r="E520" s="32">
        <v>260</v>
      </c>
      <c r="F520" s="45">
        <v>0.34</v>
      </c>
      <c r="G520" s="32" t="s">
        <v>669</v>
      </c>
      <c r="H520" s="32" t="b">
        <v>0</v>
      </c>
    </row>
    <row r="521" spans="1:8">
      <c r="A521" s="32" t="s">
        <v>562</v>
      </c>
      <c r="B521" s="32" t="s">
        <v>588</v>
      </c>
      <c r="C521" s="32" t="s">
        <v>667</v>
      </c>
      <c r="D521" s="32">
        <v>104</v>
      </c>
      <c r="E521" s="32">
        <v>88</v>
      </c>
      <c r="F521" s="45">
        <v>-0.154</v>
      </c>
      <c r="G521" s="32" t="s">
        <v>668</v>
      </c>
      <c r="H521" s="32" t="b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MainData</vt:lpstr>
      <vt:lpstr>111_Raw</vt:lpstr>
      <vt:lpstr>113_Raw</vt:lpstr>
      <vt:lpstr>111_Faraway</vt:lpstr>
      <vt:lpstr>113_Faraway</vt:lpstr>
      <vt:lpstr>Mapping</vt:lpstr>
      <vt:lpstr>Export_JSON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林宣妏</dc:creator>
  <cp:lastModifiedBy>林宣妏</cp:lastModifiedBy>
  <dcterms:created xsi:type="dcterms:W3CDTF">2026-04-10T07:52:34Z</dcterms:created>
  <dcterms:modified xsi:type="dcterms:W3CDTF">2026-04-11T04:16:24Z</dcterms:modified>
</cp:coreProperties>
</file>